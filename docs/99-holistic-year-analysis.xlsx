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Temp\"/>
    </mc:Choice>
  </mc:AlternateContent>
  <bookViews>
    <workbookView xWindow="0" yWindow="0" windowWidth="28800" windowHeight="11955" activeTab="5"/>
  </bookViews>
  <sheets>
    <sheet name="Summary" sheetId="1" r:id="rId1"/>
    <sheet name="Cardinal Points" sheetId="2" r:id="rId2"/>
    <sheet name="Anomalistic" sheetId="3" r:id="rId3"/>
    <sheet name="Sidereal" sheetId="4" r:id="rId4"/>
    <sheet name="Detailed" sheetId="5" r:id="rId5"/>
    <sheet name="Graphs" sheetId="6" r:id="rId6"/>
  </sheets>
  <calcPr calcId="152511"/>
  <pivotCaches>
    <pivotCache cacheId="13" r:id="rId7"/>
    <pivotCache cacheId="16" r:id="rId8"/>
  </pivotCaches>
</workbook>
</file>

<file path=xl/calcChain.xml><?xml version="1.0" encoding="utf-8"?>
<calcChain xmlns="http://schemas.openxmlformats.org/spreadsheetml/2006/main">
  <c r="L66" i="5" l="1"/>
  <c r="L65" i="5"/>
  <c r="L64" i="5"/>
  <c r="L63" i="5"/>
  <c r="L62" i="5"/>
  <c r="L61" i="5"/>
  <c r="L60" i="5"/>
  <c r="L59" i="5"/>
  <c r="L58" i="5"/>
  <c r="L57" i="5"/>
  <c r="L56" i="5"/>
  <c r="L55" i="5"/>
  <c r="L54" i="5"/>
  <c r="L53" i="5"/>
  <c r="L52" i="5"/>
  <c r="L51" i="5"/>
  <c r="L50" i="5"/>
  <c r="L49" i="5"/>
  <c r="L48" i="5"/>
  <c r="L47" i="5"/>
  <c r="L46" i="5"/>
  <c r="L45" i="5"/>
  <c r="L44" i="5"/>
  <c r="L43" i="5"/>
  <c r="L42" i="5"/>
  <c r="L41" i="5"/>
  <c r="L40" i="5"/>
  <c r="L39" i="5"/>
  <c r="L38" i="5"/>
  <c r="L37"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L8" i="5"/>
  <c r="L7" i="5"/>
  <c r="L6" i="5"/>
  <c r="L5" i="5"/>
  <c r="L4" i="5"/>
  <c r="L3" i="5"/>
  <c r="L2" i="5"/>
</calcChain>
</file>

<file path=xl/sharedStrings.xml><?xml version="1.0" encoding="utf-8"?>
<sst xmlns="http://schemas.openxmlformats.org/spreadsheetml/2006/main" count="115" uniqueCount="79">
  <si>
    <t>YEAR ANALYSIS REPORT</t>
  </si>
  <si>
    <t>Generated</t>
  </si>
  <si>
    <t>Analysis Period</t>
  </si>
  <si>
    <t>-301340 to 32548 (333888 years)</t>
  </si>
  <si>
    <t>ORBITAL PARAMETERS (at mid-point year -134396)</t>
  </si>
  <si>
    <t>Obliquity (°)</t>
  </si>
  <si>
    <t>Eccentricity</t>
  </si>
  <si>
    <t>TROPICAL YEAR BY CARDINAL POINT</t>
  </si>
  <si>
    <t>Measured (days)</t>
  </si>
  <si>
    <t>IAU J2000 Ref (days)</t>
  </si>
  <si>
    <t>Diff (seconds)</t>
  </si>
  <si>
    <t>Vernal Equinox (RA=0°)</t>
  </si>
  <si>
    <t>Summer Solstice (RA=90°)</t>
  </si>
  <si>
    <t>Autumnal Equinox (RA=180°)</t>
  </si>
  <si>
    <t>Winter Solstice (RA=270°)</t>
  </si>
  <si>
    <t>MEAN TROPICAL YEAR (average of 4 cardinal points)</t>
  </si>
  <si>
    <t>Measured Mean</t>
  </si>
  <si>
    <t>IAU Mean J2000</t>
  </si>
  <si>
    <t>Difference (seconds)</t>
  </si>
  <si>
    <t>Model Configured</t>
  </si>
  <si>
    <t>ANOMALISTIC YEAR</t>
  </si>
  <si>
    <t>Perihelion to Perihelion</t>
  </si>
  <si>
    <t>Aphelion to Aphelion</t>
  </si>
  <si>
    <t>SIDEREAL YEAR</t>
  </si>
  <si>
    <t>Sidereal Year (wobble-center)</t>
  </si>
  <si>
    <t>Sidereal - Tropical (model)</t>
  </si>
  <si>
    <t/>
  </si>
  <si>
    <t>Sidereal - Tropical (IAU)</t>
  </si>
  <si>
    <t>MEASUREMENT OFFSET CORRECTIONS</t>
  </si>
  <si>
    <t>Solar Day Offset (perihelion precession effect)</t>
  </si>
  <si>
    <t xml:space="preserve">  Formula: (meanLengthOfDay / perihelionCycle) / solarDaysPerYear</t>
  </si>
  <si>
    <t xml:space="preserve">  Daily offset</t>
  </si>
  <si>
    <t xml:space="preserve">  Yearly accumulation</t>
  </si>
  <si>
    <t xml:space="preserve">  Effect: adds 1 extra day over perihelion cycle (H/16 = 20,868 years)</t>
  </si>
  <si>
    <t>Wobble Parallax (Earth-wobble measurement effect)</t>
  </si>
  <si>
    <t xml:space="preserve">  Formula: ΔT = (r/D) × (T_sid/T_wobble) × T_sid</t>
  </si>
  <si>
    <t xml:space="preserve">  Wobble parallax (C-D difference)</t>
  </si>
  <si>
    <t>PRECESSION CALCULATION</t>
  </si>
  <si>
    <t>Sidereal Year (measured)</t>
  </si>
  <si>
    <t>Mean Tropical Year</t>
  </si>
  <si>
    <t>Precession = Sidereal / (Sidereal - Tropical)</t>
  </si>
  <si>
    <t xml:space="preserve">  Calculated precession</t>
  </si>
  <si>
    <t>Year</t>
  </si>
  <si>
    <t>VE JD</t>
  </si>
  <si>
    <t>VE Interval (days)</t>
  </si>
  <si>
    <t>SS JD</t>
  </si>
  <si>
    <t>SS Interval (days)</t>
  </si>
  <si>
    <t>AE JD</t>
  </si>
  <si>
    <t>AE Interval (days)</t>
  </si>
  <si>
    <t>WS JD</t>
  </si>
  <si>
    <t>WS Interval (days)</t>
  </si>
  <si>
    <t>Perihelion JD</t>
  </si>
  <si>
    <t>Perihelion Dist (AU)</t>
  </si>
  <si>
    <t>Peri Interval (days)</t>
  </si>
  <si>
    <t>Aphelion JD</t>
  </si>
  <si>
    <t>Aphelion Dist (AU)</t>
  </si>
  <si>
    <t>Aph Interval (days)</t>
  </si>
  <si>
    <t>Sidereal Crossing JD</t>
  </si>
  <si>
    <t>Sidereal Interval (days)</t>
  </si>
  <si>
    <t>VE Interval</t>
  </si>
  <si>
    <t>SS Interval</t>
  </si>
  <si>
    <t>AE Interval</t>
  </si>
  <si>
    <t>WS Interval</t>
  </si>
  <si>
    <t>Peri Interval</t>
  </si>
  <si>
    <t>Aph Interval</t>
  </si>
  <si>
    <t>2026-01-23T09:16:27,129Z</t>
  </si>
  <si>
    <t>11,34 ms/day</t>
  </si>
  <si>
    <t>4,14 s/year</t>
  </si>
  <si>
    <t xml:space="preserve">  Where: r = 0,0014226 AU, D = 1 AU, T_wobble = H/13 = 25,683,69 years</t>
  </si>
  <si>
    <t>1,748 s (constant)</t>
  </si>
  <si>
    <t>25675,73 years</t>
  </si>
  <si>
    <t>25771,58 years (IAU J2000)</t>
  </si>
  <si>
    <t>Rijlabels</t>
  </si>
  <si>
    <t>Eindtotaal</t>
  </si>
  <si>
    <t>Som van Obliquity (°)</t>
  </si>
  <si>
    <t>Som van Mean Tropical Year</t>
  </si>
  <si>
    <t>Som van Sidereal Interval (days)</t>
  </si>
  <si>
    <t>Precession</t>
  </si>
  <si>
    <t>Som van Precession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</si>
</sst>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0" fontId="0" fillId="0" borderId="0" xfId="0" pivotButton="1" applyNumberFormat="1"/>
    <xf numFmtId="0" fontId="0" fillId="0" borderId="0" xfId="0" applyNumberFormat="1" applyAlignment="1">
      <alignment horizontal="left"/>
    </xf>
    <xf numFmtId="0" fontId="1" fillId="0" borderId="0" xfId="0" applyNumberFormat="1" applyFont="1"/>
  </cellXfs>
  <cellStyles count="1">
    <cellStyle name="Standaard"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pivotSource>
    <c:name>[Holistic_year_analysis_65_years.xlsx]Graphs!Draaitabel1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Obliquity (formula)</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Graphs!$B$1</c:f>
              <c:strCache>
                <c:ptCount val="1"/>
                <c:pt idx="0">
                  <c:v>Totaal</c:v>
                </c:pt>
              </c:strCache>
            </c:strRef>
          </c:tx>
          <c:spPr>
            <a:ln w="28575" cap="rnd">
              <a:solidFill>
                <a:schemeClr val="accent1"/>
              </a:solidFill>
              <a:round/>
            </a:ln>
            <a:effectLst/>
          </c:spPr>
          <c:marker>
            <c:symbol val="none"/>
          </c:marker>
          <c:cat>
            <c:strRef>
              <c:f>Graphs!$A$2:$A$67</c:f>
              <c:strCache>
                <c:ptCount val="65"/>
                <c:pt idx="0">
                  <c:v>-301340</c:v>
                </c:pt>
                <c:pt idx="1">
                  <c:v>-296123</c:v>
                </c:pt>
                <c:pt idx="2">
                  <c:v>-290906</c:v>
                </c:pt>
                <c:pt idx="3">
                  <c:v>-285689</c:v>
                </c:pt>
                <c:pt idx="4">
                  <c:v>-280472</c:v>
                </c:pt>
                <c:pt idx="5">
                  <c:v>-275255</c:v>
                </c:pt>
                <c:pt idx="6">
                  <c:v>-270038</c:v>
                </c:pt>
                <c:pt idx="7">
                  <c:v>-264821</c:v>
                </c:pt>
                <c:pt idx="8">
                  <c:v>-259604</c:v>
                </c:pt>
                <c:pt idx="9">
                  <c:v>-254387</c:v>
                </c:pt>
                <c:pt idx="10">
                  <c:v>-249170</c:v>
                </c:pt>
                <c:pt idx="11">
                  <c:v>-243953</c:v>
                </c:pt>
                <c:pt idx="12">
                  <c:v>-238736</c:v>
                </c:pt>
                <c:pt idx="13">
                  <c:v>-233519</c:v>
                </c:pt>
                <c:pt idx="14">
                  <c:v>-228302</c:v>
                </c:pt>
                <c:pt idx="15">
                  <c:v>-223085</c:v>
                </c:pt>
                <c:pt idx="16">
                  <c:v>-217868</c:v>
                </c:pt>
                <c:pt idx="17">
                  <c:v>-212651</c:v>
                </c:pt>
                <c:pt idx="18">
                  <c:v>-207434</c:v>
                </c:pt>
                <c:pt idx="19">
                  <c:v>-202217</c:v>
                </c:pt>
                <c:pt idx="20">
                  <c:v>-197000</c:v>
                </c:pt>
                <c:pt idx="21">
                  <c:v>-191783</c:v>
                </c:pt>
                <c:pt idx="22">
                  <c:v>-186566</c:v>
                </c:pt>
                <c:pt idx="23">
                  <c:v>-181349</c:v>
                </c:pt>
                <c:pt idx="24">
                  <c:v>-176132</c:v>
                </c:pt>
                <c:pt idx="25">
                  <c:v>-170915</c:v>
                </c:pt>
                <c:pt idx="26">
                  <c:v>-165698</c:v>
                </c:pt>
                <c:pt idx="27">
                  <c:v>-160481</c:v>
                </c:pt>
                <c:pt idx="28">
                  <c:v>-155264</c:v>
                </c:pt>
                <c:pt idx="29">
                  <c:v>-150047</c:v>
                </c:pt>
                <c:pt idx="30">
                  <c:v>-144830</c:v>
                </c:pt>
                <c:pt idx="31">
                  <c:v>-139613</c:v>
                </c:pt>
                <c:pt idx="32">
                  <c:v>-134396</c:v>
                </c:pt>
                <c:pt idx="33">
                  <c:v>-129179</c:v>
                </c:pt>
                <c:pt idx="34">
                  <c:v>-123962</c:v>
                </c:pt>
                <c:pt idx="35">
                  <c:v>-118745</c:v>
                </c:pt>
                <c:pt idx="36">
                  <c:v>-113528</c:v>
                </c:pt>
                <c:pt idx="37">
                  <c:v>-108311</c:v>
                </c:pt>
                <c:pt idx="38">
                  <c:v>-103094</c:v>
                </c:pt>
                <c:pt idx="39">
                  <c:v>-97877</c:v>
                </c:pt>
                <c:pt idx="40">
                  <c:v>-92660</c:v>
                </c:pt>
                <c:pt idx="41">
                  <c:v>-87443</c:v>
                </c:pt>
                <c:pt idx="42">
                  <c:v>-82226</c:v>
                </c:pt>
                <c:pt idx="43">
                  <c:v>-77009</c:v>
                </c:pt>
                <c:pt idx="44">
                  <c:v>-71792</c:v>
                </c:pt>
                <c:pt idx="45">
                  <c:v>-66575</c:v>
                </c:pt>
                <c:pt idx="46">
                  <c:v>-61358</c:v>
                </c:pt>
                <c:pt idx="47">
                  <c:v>-56141</c:v>
                </c:pt>
                <c:pt idx="48">
                  <c:v>-50924</c:v>
                </c:pt>
                <c:pt idx="49">
                  <c:v>-45707</c:v>
                </c:pt>
                <c:pt idx="50">
                  <c:v>-40490</c:v>
                </c:pt>
                <c:pt idx="51">
                  <c:v>-35273</c:v>
                </c:pt>
                <c:pt idx="52">
                  <c:v>-30056</c:v>
                </c:pt>
                <c:pt idx="53">
                  <c:v>-24839</c:v>
                </c:pt>
                <c:pt idx="54">
                  <c:v>-19622</c:v>
                </c:pt>
                <c:pt idx="55">
                  <c:v>-14405</c:v>
                </c:pt>
                <c:pt idx="56">
                  <c:v>-9188</c:v>
                </c:pt>
                <c:pt idx="57">
                  <c:v>-3971</c:v>
                </c:pt>
                <c:pt idx="58">
                  <c:v>1246</c:v>
                </c:pt>
                <c:pt idx="59">
                  <c:v>6463</c:v>
                </c:pt>
                <c:pt idx="60">
                  <c:v>11680</c:v>
                </c:pt>
                <c:pt idx="61">
                  <c:v>16897</c:v>
                </c:pt>
                <c:pt idx="62">
                  <c:v>22114</c:v>
                </c:pt>
                <c:pt idx="63">
                  <c:v>27331</c:v>
                </c:pt>
                <c:pt idx="64">
                  <c:v>32548</c:v>
                </c:pt>
              </c:strCache>
            </c:strRef>
          </c:cat>
          <c:val>
            <c:numRef>
              <c:f>Graphs!$B$2:$B$67</c:f>
              <c:numCache>
                <c:formatCode>General</c:formatCode>
                <c:ptCount val="65"/>
                <c:pt idx="0">
                  <c:v>23.413979999999999</c:v>
                </c:pt>
                <c:pt idx="1">
                  <c:v>23.255234000000002</c:v>
                </c:pt>
                <c:pt idx="2">
                  <c:v>22.886448000000001</c:v>
                </c:pt>
                <c:pt idx="3">
                  <c:v>22.563410000000001</c:v>
                </c:pt>
                <c:pt idx="4">
                  <c:v>22.537782</c:v>
                </c:pt>
                <c:pt idx="5">
                  <c:v>22.904309000000001</c:v>
                </c:pt>
                <c:pt idx="6">
                  <c:v>23.538454000000002</c:v>
                </c:pt>
                <c:pt idx="7">
                  <c:v>24.161581000000002</c:v>
                </c:pt>
                <c:pt idx="8">
                  <c:v>24.496179999999999</c:v>
                </c:pt>
                <c:pt idx="9">
                  <c:v>24.420884000000001</c:v>
                </c:pt>
                <c:pt idx="10">
                  <c:v>24.035136000000001</c:v>
                </c:pt>
                <c:pt idx="11">
                  <c:v>23.596174000000001</c:v>
                </c:pt>
                <c:pt idx="12">
                  <c:v>23.365655</c:v>
                </c:pt>
                <c:pt idx="13">
                  <c:v>23.455998000000001</c:v>
                </c:pt>
                <c:pt idx="14">
                  <c:v>23.766480000000001</c:v>
                </c:pt>
                <c:pt idx="15">
                  <c:v>24.04635</c:v>
                </c:pt>
                <c:pt idx="16">
                  <c:v>24.047644999999999</c:v>
                </c:pt>
                <c:pt idx="17">
                  <c:v>23.677671</c:v>
                </c:pt>
                <c:pt idx="18">
                  <c:v>23.061216999999999</c:v>
                </c:pt>
                <c:pt idx="19">
                  <c:v>22.475376000000001</c:v>
                </c:pt>
                <c:pt idx="20">
                  <c:v>22.194467</c:v>
                </c:pt>
                <c:pt idx="21">
                  <c:v>22.335277000000001</c:v>
                </c:pt>
                <c:pt idx="22">
                  <c:v>22.792767999999999</c:v>
                </c:pt>
                <c:pt idx="23">
                  <c:v>23.303540999999999</c:v>
                </c:pt>
                <c:pt idx="24">
                  <c:v>23.599737000000001</c:v>
                </c:pt>
                <c:pt idx="25">
                  <c:v>23.563236</c:v>
                </c:pt>
                <c:pt idx="26">
                  <c:v>23.29008</c:v>
                </c:pt>
                <c:pt idx="27">
                  <c:v>23.027785000000002</c:v>
                </c:pt>
                <c:pt idx="28">
                  <c:v>23.022819999999999</c:v>
                </c:pt>
                <c:pt idx="29">
                  <c:v>23.368241000000001</c:v>
                </c:pt>
                <c:pt idx="30">
                  <c:v>23.941417999999999</c:v>
                </c:pt>
                <c:pt idx="31">
                  <c:v>24.469004000000002</c:v>
                </c:pt>
                <c:pt idx="32">
                  <c:v>24.681678000000002</c:v>
                </c:pt>
                <c:pt idx="33">
                  <c:v>24.468482000000002</c:v>
                </c:pt>
                <c:pt idx="34">
                  <c:v>23.940646000000001</c:v>
                </c:pt>
                <c:pt idx="35">
                  <c:v>23.367604</c:v>
                </c:pt>
                <c:pt idx="36">
                  <c:v>23.022599</c:v>
                </c:pt>
                <c:pt idx="37">
                  <c:v>23.027998</c:v>
                </c:pt>
                <c:pt idx="38">
                  <c:v>23.290483999999999</c:v>
                </c:pt>
                <c:pt idx="39">
                  <c:v>23.563476999999999</c:v>
                </c:pt>
                <c:pt idx="40">
                  <c:v>23.599568000000001</c:v>
                </c:pt>
                <c:pt idx="41">
                  <c:v>23.302976000000001</c:v>
                </c:pt>
                <c:pt idx="42">
                  <c:v>22.792081</c:v>
                </c:pt>
                <c:pt idx="43">
                  <c:v>22.334848000000001</c:v>
                </c:pt>
                <c:pt idx="44">
                  <c:v>22.194558000000001</c:v>
                </c:pt>
                <c:pt idx="45">
                  <c:v>22.475981000000001</c:v>
                </c:pt>
                <c:pt idx="46">
                  <c:v>23.062055999999998</c:v>
                </c:pt>
                <c:pt idx="47">
                  <c:v>23.678353000000001</c:v>
                </c:pt>
                <c:pt idx="48">
                  <c:v>24.047885000000001</c:v>
                </c:pt>
                <c:pt idx="49">
                  <c:v>24.046126999999998</c:v>
                </c:pt>
                <c:pt idx="50">
                  <c:v>23.766038999999999</c:v>
                </c:pt>
                <c:pt idx="51">
                  <c:v>23.455698000000002</c:v>
                </c:pt>
                <c:pt idx="52">
                  <c:v>23.365746000000001</c:v>
                </c:pt>
                <c:pt idx="53">
                  <c:v>23.596648999999999</c:v>
                </c:pt>
                <c:pt idx="54">
                  <c:v>24.035729</c:v>
                </c:pt>
                <c:pt idx="55">
                  <c:v>24.421223999999999</c:v>
                </c:pt>
                <c:pt idx="56">
                  <c:v>24.496010999999999</c:v>
                </c:pt>
                <c:pt idx="57">
                  <c:v>24.160917999999999</c:v>
                </c:pt>
                <c:pt idx="58">
                  <c:v>23.537579000000001</c:v>
                </c:pt>
                <c:pt idx="59">
                  <c:v>22.903604999999999</c:v>
                </c:pt>
                <c:pt idx="60">
                  <c:v>22.537552000000002</c:v>
                </c:pt>
                <c:pt idx="61">
                  <c:v>22.563690000000001</c:v>
                </c:pt>
                <c:pt idx="62">
                  <c:v>22.886987999999999</c:v>
                </c:pt>
                <c:pt idx="63">
                  <c:v>23.255648999999998</c:v>
                </c:pt>
                <c:pt idx="64">
                  <c:v>23.413979999999999</c:v>
                </c:pt>
              </c:numCache>
            </c:numRef>
          </c:val>
          <c:smooth val="1"/>
        </c:ser>
        <c:dLbls>
          <c:showLegendKey val="0"/>
          <c:showVal val="0"/>
          <c:showCatName val="0"/>
          <c:showSerName val="0"/>
          <c:showPercent val="0"/>
          <c:showBubbleSize val="0"/>
        </c:dLbls>
        <c:smooth val="0"/>
        <c:axId val="1317179536"/>
        <c:axId val="1317192592"/>
      </c:lineChart>
      <c:catAx>
        <c:axId val="131717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317192592"/>
        <c:crosses val="autoZero"/>
        <c:auto val="1"/>
        <c:lblAlgn val="ctr"/>
        <c:lblOffset val="100"/>
        <c:noMultiLvlLbl val="0"/>
      </c:catAx>
      <c:valAx>
        <c:axId val="131719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317179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pivotSource>
    <c:name>[Holistic_year_analysis_65_years.xlsx]Graphs!Draaitabel2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Tropical Year (days)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Graphs!$I$1</c:f>
              <c:strCache>
                <c:ptCount val="1"/>
                <c:pt idx="0">
                  <c:v>Totaal</c:v>
                </c:pt>
              </c:strCache>
            </c:strRef>
          </c:tx>
          <c:spPr>
            <a:ln w="28575" cap="rnd">
              <a:solidFill>
                <a:schemeClr val="accent1"/>
              </a:solidFill>
              <a:round/>
            </a:ln>
            <a:effectLst/>
          </c:spPr>
          <c:marker>
            <c:symbol val="none"/>
          </c:marker>
          <c:cat>
            <c:strRef>
              <c:f>Graphs!$H$2:$H$67</c:f>
              <c:strCache>
                <c:ptCount val="65"/>
                <c:pt idx="0">
                  <c:v>-301340</c:v>
                </c:pt>
                <c:pt idx="1">
                  <c:v>-296123</c:v>
                </c:pt>
                <c:pt idx="2">
                  <c:v>-290906</c:v>
                </c:pt>
                <c:pt idx="3">
                  <c:v>-285689</c:v>
                </c:pt>
                <c:pt idx="4">
                  <c:v>-280472</c:v>
                </c:pt>
                <c:pt idx="5">
                  <c:v>-275255</c:v>
                </c:pt>
                <c:pt idx="6">
                  <c:v>-270038</c:v>
                </c:pt>
                <c:pt idx="7">
                  <c:v>-264821</c:v>
                </c:pt>
                <c:pt idx="8">
                  <c:v>-259604</c:v>
                </c:pt>
                <c:pt idx="9">
                  <c:v>-254387</c:v>
                </c:pt>
                <c:pt idx="10">
                  <c:v>-249170</c:v>
                </c:pt>
                <c:pt idx="11">
                  <c:v>-243953</c:v>
                </c:pt>
                <c:pt idx="12">
                  <c:v>-238736</c:v>
                </c:pt>
                <c:pt idx="13">
                  <c:v>-233519</c:v>
                </c:pt>
                <c:pt idx="14">
                  <c:v>-228302</c:v>
                </c:pt>
                <c:pt idx="15">
                  <c:v>-223085</c:v>
                </c:pt>
                <c:pt idx="16">
                  <c:v>-217868</c:v>
                </c:pt>
                <c:pt idx="17">
                  <c:v>-212651</c:v>
                </c:pt>
                <c:pt idx="18">
                  <c:v>-207434</c:v>
                </c:pt>
                <c:pt idx="19">
                  <c:v>-202217</c:v>
                </c:pt>
                <c:pt idx="20">
                  <c:v>-197000</c:v>
                </c:pt>
                <c:pt idx="21">
                  <c:v>-191783</c:v>
                </c:pt>
                <c:pt idx="22">
                  <c:v>-186566</c:v>
                </c:pt>
                <c:pt idx="23">
                  <c:v>-181349</c:v>
                </c:pt>
                <c:pt idx="24">
                  <c:v>-176132</c:v>
                </c:pt>
                <c:pt idx="25">
                  <c:v>-170915</c:v>
                </c:pt>
                <c:pt idx="26">
                  <c:v>-165698</c:v>
                </c:pt>
                <c:pt idx="27">
                  <c:v>-160481</c:v>
                </c:pt>
                <c:pt idx="28">
                  <c:v>-155264</c:v>
                </c:pt>
                <c:pt idx="29">
                  <c:v>-150047</c:v>
                </c:pt>
                <c:pt idx="30">
                  <c:v>-144830</c:v>
                </c:pt>
                <c:pt idx="31">
                  <c:v>-139613</c:v>
                </c:pt>
                <c:pt idx="32">
                  <c:v>-134396</c:v>
                </c:pt>
                <c:pt idx="33">
                  <c:v>-129179</c:v>
                </c:pt>
                <c:pt idx="34">
                  <c:v>-123962</c:v>
                </c:pt>
                <c:pt idx="35">
                  <c:v>-118745</c:v>
                </c:pt>
                <c:pt idx="36">
                  <c:v>-113528</c:v>
                </c:pt>
                <c:pt idx="37">
                  <c:v>-108311</c:v>
                </c:pt>
                <c:pt idx="38">
                  <c:v>-103094</c:v>
                </c:pt>
                <c:pt idx="39">
                  <c:v>-97877</c:v>
                </c:pt>
                <c:pt idx="40">
                  <c:v>-92660</c:v>
                </c:pt>
                <c:pt idx="41">
                  <c:v>-87443</c:v>
                </c:pt>
                <c:pt idx="42">
                  <c:v>-82226</c:v>
                </c:pt>
                <c:pt idx="43">
                  <c:v>-77009</c:v>
                </c:pt>
                <c:pt idx="44">
                  <c:v>-71792</c:v>
                </c:pt>
                <c:pt idx="45">
                  <c:v>-66575</c:v>
                </c:pt>
                <c:pt idx="46">
                  <c:v>-61358</c:v>
                </c:pt>
                <c:pt idx="47">
                  <c:v>-56141</c:v>
                </c:pt>
                <c:pt idx="48">
                  <c:v>-50924</c:v>
                </c:pt>
                <c:pt idx="49">
                  <c:v>-45707</c:v>
                </c:pt>
                <c:pt idx="50">
                  <c:v>-40490</c:v>
                </c:pt>
                <c:pt idx="51">
                  <c:v>-35273</c:v>
                </c:pt>
                <c:pt idx="52">
                  <c:v>-30056</c:v>
                </c:pt>
                <c:pt idx="53">
                  <c:v>-24839</c:v>
                </c:pt>
                <c:pt idx="54">
                  <c:v>-19622</c:v>
                </c:pt>
                <c:pt idx="55">
                  <c:v>-14405</c:v>
                </c:pt>
                <c:pt idx="56">
                  <c:v>-9188</c:v>
                </c:pt>
                <c:pt idx="57">
                  <c:v>-3971</c:v>
                </c:pt>
                <c:pt idx="58">
                  <c:v>1246</c:v>
                </c:pt>
                <c:pt idx="59">
                  <c:v>6463</c:v>
                </c:pt>
                <c:pt idx="60">
                  <c:v>11680</c:v>
                </c:pt>
                <c:pt idx="61">
                  <c:v>16897</c:v>
                </c:pt>
                <c:pt idx="62">
                  <c:v>22114</c:v>
                </c:pt>
                <c:pt idx="63">
                  <c:v>27331</c:v>
                </c:pt>
                <c:pt idx="64">
                  <c:v>32548</c:v>
                </c:pt>
              </c:strCache>
            </c:strRef>
          </c:cat>
          <c:val>
            <c:numRef>
              <c:f>Graphs!$I$2:$I$67</c:f>
              <c:numCache>
                <c:formatCode>General</c:formatCode>
                <c:ptCount val="65"/>
                <c:pt idx="0">
                  <c:v>365.24217624200003</c:v>
                </c:pt>
                <c:pt idx="1">
                  <c:v>365.24218128199999</c:v>
                </c:pt>
                <c:pt idx="2">
                  <c:v>365.24219472300001</c:v>
                </c:pt>
                <c:pt idx="3">
                  <c:v>365.24220817899999</c:v>
                </c:pt>
                <c:pt idx="4">
                  <c:v>365.24221314099998</c:v>
                </c:pt>
                <c:pt idx="5">
                  <c:v>365.24220579899998</c:v>
                </c:pt>
                <c:pt idx="6">
                  <c:v>365.24218913499999</c:v>
                </c:pt>
                <c:pt idx="7">
                  <c:v>365.24217154799999</c:v>
                </c:pt>
                <c:pt idx="8">
                  <c:v>365.24216239200001</c:v>
                </c:pt>
                <c:pt idx="9">
                  <c:v>365.24216632899999</c:v>
                </c:pt>
                <c:pt idx="10">
                  <c:v>365.24218020199999</c:v>
                </c:pt>
                <c:pt idx="11">
                  <c:v>365.24219532699999</c:v>
                </c:pt>
                <c:pt idx="12">
                  <c:v>365.24220282200002</c:v>
                </c:pt>
                <c:pt idx="13">
                  <c:v>365.242198691</c:v>
                </c:pt>
                <c:pt idx="14">
                  <c:v>365.242185775</c:v>
                </c:pt>
                <c:pt idx="15">
                  <c:v>365.24217239799998</c:v>
                </c:pt>
                <c:pt idx="16">
                  <c:v>365.24216750599999</c:v>
                </c:pt>
                <c:pt idx="17">
                  <c:v>365.24217512500002</c:v>
                </c:pt>
                <c:pt idx="18">
                  <c:v>365.24219165699998</c:v>
                </c:pt>
                <c:pt idx="19">
                  <c:v>365.24220835400001</c:v>
                </c:pt>
                <c:pt idx="20">
                  <c:v>365.24221648999998</c:v>
                </c:pt>
                <c:pt idx="21">
                  <c:v>365.24221212399999</c:v>
                </c:pt>
                <c:pt idx="22">
                  <c:v>365.24219806100001</c:v>
                </c:pt>
                <c:pt idx="23">
                  <c:v>365.24218243000001</c:v>
                </c:pt>
                <c:pt idx="24">
                  <c:v>365.24217417800003</c:v>
                </c:pt>
                <c:pt idx="25">
                  <c:v>365.24217772700001</c:v>
                </c:pt>
                <c:pt idx="26">
                  <c:v>365.24219005200001</c:v>
                </c:pt>
                <c:pt idx="27">
                  <c:v>365.24220282599998</c:v>
                </c:pt>
                <c:pt idx="28">
                  <c:v>365.242207495</c:v>
                </c:pt>
                <c:pt idx="29">
                  <c:v>365.24220019799998</c:v>
                </c:pt>
                <c:pt idx="30">
                  <c:v>365.24218397800001</c:v>
                </c:pt>
                <c:pt idx="31">
                  <c:v>365.24216731299998</c:v>
                </c:pt>
                <c:pt idx="32">
                  <c:v>365.24215957000001</c:v>
                </c:pt>
                <c:pt idx="33">
                  <c:v>365.24216522299997</c:v>
                </c:pt>
                <c:pt idx="34">
                  <c:v>365.24218090599999</c:v>
                </c:pt>
                <c:pt idx="35">
                  <c:v>365.24219768099999</c:v>
                </c:pt>
                <c:pt idx="36">
                  <c:v>365.24220662900001</c:v>
                </c:pt>
                <c:pt idx="37">
                  <c:v>365.24220369</c:v>
                </c:pt>
                <c:pt idx="38">
                  <c:v>365.24219164300001</c:v>
                </c:pt>
                <c:pt idx="39">
                  <c:v>365.24217865399999</c:v>
                </c:pt>
                <c:pt idx="40">
                  <c:v>365.24217350499998</c:v>
                </c:pt>
                <c:pt idx="41">
                  <c:v>365.242180211</c:v>
                </c:pt>
                <c:pt idx="42">
                  <c:v>365.242195374</c:v>
                </c:pt>
                <c:pt idx="43">
                  <c:v>365.242210446</c:v>
                </c:pt>
                <c:pt idx="44">
                  <c:v>365.24221685200001</c:v>
                </c:pt>
                <c:pt idx="45">
                  <c:v>365.242210704</c:v>
                </c:pt>
                <c:pt idx="46">
                  <c:v>365.242194944</c:v>
                </c:pt>
                <c:pt idx="47">
                  <c:v>365.242177809</c:v>
                </c:pt>
                <c:pt idx="48">
                  <c:v>365.24216847399998</c:v>
                </c:pt>
                <c:pt idx="49">
                  <c:v>365.24217152900002</c:v>
                </c:pt>
                <c:pt idx="50">
                  <c:v>365.24218402399998</c:v>
                </c:pt>
                <c:pt idx="51">
                  <c:v>365.24219747900003</c:v>
                </c:pt>
                <c:pt idx="52">
                  <c:v>365.24220319300002</c:v>
                </c:pt>
                <c:pt idx="53">
                  <c:v>365.24219722599997</c:v>
                </c:pt>
                <c:pt idx="54">
                  <c:v>365.24218256900002</c:v>
                </c:pt>
                <c:pt idx="55">
                  <c:v>365.24216767199999</c:v>
                </c:pt>
                <c:pt idx="56">
                  <c:v>365.24216170800003</c:v>
                </c:pt>
                <c:pt idx="57">
                  <c:v>365.24216890000002</c:v>
                </c:pt>
                <c:pt idx="58">
                  <c:v>365.24218567100002</c:v>
                </c:pt>
                <c:pt idx="59">
                  <c:v>365.24220308500003</c:v>
                </c:pt>
                <c:pt idx="60">
                  <c:v>365.24221229099999</c:v>
                </c:pt>
                <c:pt idx="61">
                  <c:v>365.24220923899998</c:v>
                </c:pt>
                <c:pt idx="62">
                  <c:v>365.24219670000002</c:v>
                </c:pt>
                <c:pt idx="63">
                  <c:v>365.24218277199998</c:v>
                </c:pt>
                <c:pt idx="64">
                  <c:v>365.242176245</c:v>
                </c:pt>
              </c:numCache>
            </c:numRef>
          </c:val>
          <c:smooth val="1"/>
        </c:ser>
        <c:dLbls>
          <c:showLegendKey val="0"/>
          <c:showVal val="0"/>
          <c:showCatName val="0"/>
          <c:showSerName val="0"/>
          <c:showPercent val="0"/>
          <c:showBubbleSize val="0"/>
        </c:dLbls>
        <c:smooth val="0"/>
        <c:axId val="1317178448"/>
        <c:axId val="1317193136"/>
      </c:lineChart>
      <c:catAx>
        <c:axId val="131717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317193136"/>
        <c:crosses val="autoZero"/>
        <c:auto val="1"/>
        <c:lblAlgn val="ctr"/>
        <c:lblOffset val="100"/>
        <c:noMultiLvlLbl val="0"/>
      </c:catAx>
      <c:valAx>
        <c:axId val="131719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3171784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pivotSource>
    <c:name>[Holistic_year_analysis_65_years.xlsx]Graphs!Draaitabel3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Sidereal year (days)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ln w="28575" cap="rnd">
            <a:solidFill>
              <a:schemeClr val="accent1"/>
            </a:solidFill>
            <a:round/>
          </a:ln>
          <a:effectLst/>
        </c:spPr>
        <c:marker>
          <c:symbol val="none"/>
        </c:marker>
      </c:pivotFmt>
    </c:pivotFmts>
    <c:plotArea>
      <c:layout/>
      <c:lineChart>
        <c:grouping val="standard"/>
        <c:varyColors val="0"/>
        <c:ser>
          <c:idx val="0"/>
          <c:order val="0"/>
          <c:tx>
            <c:strRef>
              <c:f>Graphs!$N$1</c:f>
              <c:strCache>
                <c:ptCount val="1"/>
                <c:pt idx="0">
                  <c:v>Totaal</c:v>
                </c:pt>
              </c:strCache>
            </c:strRef>
          </c:tx>
          <c:spPr>
            <a:ln w="28575" cap="rnd">
              <a:solidFill>
                <a:schemeClr val="accent1"/>
              </a:solidFill>
              <a:round/>
            </a:ln>
            <a:effectLst/>
          </c:spPr>
          <c:marker>
            <c:symbol val="none"/>
          </c:marker>
          <c:cat>
            <c:strRef>
              <c:f>Graphs!$M$2:$M$67</c:f>
              <c:strCache>
                <c:ptCount val="65"/>
                <c:pt idx="0">
                  <c:v>-301340</c:v>
                </c:pt>
                <c:pt idx="1">
                  <c:v>-296123</c:v>
                </c:pt>
                <c:pt idx="2">
                  <c:v>-290906</c:v>
                </c:pt>
                <c:pt idx="3">
                  <c:v>-285689</c:v>
                </c:pt>
                <c:pt idx="4">
                  <c:v>-280472</c:v>
                </c:pt>
                <c:pt idx="5">
                  <c:v>-275255</c:v>
                </c:pt>
                <c:pt idx="6">
                  <c:v>-270038</c:v>
                </c:pt>
                <c:pt idx="7">
                  <c:v>-264821</c:v>
                </c:pt>
                <c:pt idx="8">
                  <c:v>-259604</c:v>
                </c:pt>
                <c:pt idx="9">
                  <c:v>-254387</c:v>
                </c:pt>
                <c:pt idx="10">
                  <c:v>-249170</c:v>
                </c:pt>
                <c:pt idx="11">
                  <c:v>-243953</c:v>
                </c:pt>
                <c:pt idx="12">
                  <c:v>-238736</c:v>
                </c:pt>
                <c:pt idx="13">
                  <c:v>-233519</c:v>
                </c:pt>
                <c:pt idx="14">
                  <c:v>-228302</c:v>
                </c:pt>
                <c:pt idx="15">
                  <c:v>-223085</c:v>
                </c:pt>
                <c:pt idx="16">
                  <c:v>-217868</c:v>
                </c:pt>
                <c:pt idx="17">
                  <c:v>-212651</c:v>
                </c:pt>
                <c:pt idx="18">
                  <c:v>-207434</c:v>
                </c:pt>
                <c:pt idx="19">
                  <c:v>-202217</c:v>
                </c:pt>
                <c:pt idx="20">
                  <c:v>-197000</c:v>
                </c:pt>
                <c:pt idx="21">
                  <c:v>-191783</c:v>
                </c:pt>
                <c:pt idx="22">
                  <c:v>-186566</c:v>
                </c:pt>
                <c:pt idx="23">
                  <c:v>-181349</c:v>
                </c:pt>
                <c:pt idx="24">
                  <c:v>-176132</c:v>
                </c:pt>
                <c:pt idx="25">
                  <c:v>-170915</c:v>
                </c:pt>
                <c:pt idx="26">
                  <c:v>-165698</c:v>
                </c:pt>
                <c:pt idx="27">
                  <c:v>-160481</c:v>
                </c:pt>
                <c:pt idx="28">
                  <c:v>-155264</c:v>
                </c:pt>
                <c:pt idx="29">
                  <c:v>-150047</c:v>
                </c:pt>
                <c:pt idx="30">
                  <c:v>-144830</c:v>
                </c:pt>
                <c:pt idx="31">
                  <c:v>-139613</c:v>
                </c:pt>
                <c:pt idx="32">
                  <c:v>-134396</c:v>
                </c:pt>
                <c:pt idx="33">
                  <c:v>-129179</c:v>
                </c:pt>
                <c:pt idx="34">
                  <c:v>-123962</c:v>
                </c:pt>
                <c:pt idx="35">
                  <c:v>-118745</c:v>
                </c:pt>
                <c:pt idx="36">
                  <c:v>-113528</c:v>
                </c:pt>
                <c:pt idx="37">
                  <c:v>-108311</c:v>
                </c:pt>
                <c:pt idx="38">
                  <c:v>-103094</c:v>
                </c:pt>
                <c:pt idx="39">
                  <c:v>-97877</c:v>
                </c:pt>
                <c:pt idx="40">
                  <c:v>-92660</c:v>
                </c:pt>
                <c:pt idx="41">
                  <c:v>-87443</c:v>
                </c:pt>
                <c:pt idx="42">
                  <c:v>-82226</c:v>
                </c:pt>
                <c:pt idx="43">
                  <c:v>-77009</c:v>
                </c:pt>
                <c:pt idx="44">
                  <c:v>-71792</c:v>
                </c:pt>
                <c:pt idx="45">
                  <c:v>-66575</c:v>
                </c:pt>
                <c:pt idx="46">
                  <c:v>-61358</c:v>
                </c:pt>
                <c:pt idx="47">
                  <c:v>-56141</c:v>
                </c:pt>
                <c:pt idx="48">
                  <c:v>-50924</c:v>
                </c:pt>
                <c:pt idx="49">
                  <c:v>-45707</c:v>
                </c:pt>
                <c:pt idx="50">
                  <c:v>-40490</c:v>
                </c:pt>
                <c:pt idx="51">
                  <c:v>-35273</c:v>
                </c:pt>
                <c:pt idx="52">
                  <c:v>-30056</c:v>
                </c:pt>
                <c:pt idx="53">
                  <c:v>-24839</c:v>
                </c:pt>
                <c:pt idx="54">
                  <c:v>-19622</c:v>
                </c:pt>
                <c:pt idx="55">
                  <c:v>-14405</c:v>
                </c:pt>
                <c:pt idx="56">
                  <c:v>-9188</c:v>
                </c:pt>
                <c:pt idx="57">
                  <c:v>-3971</c:v>
                </c:pt>
                <c:pt idx="58">
                  <c:v>1246</c:v>
                </c:pt>
                <c:pt idx="59">
                  <c:v>6463</c:v>
                </c:pt>
                <c:pt idx="60">
                  <c:v>11680</c:v>
                </c:pt>
                <c:pt idx="61">
                  <c:v>16897</c:v>
                </c:pt>
                <c:pt idx="62">
                  <c:v>22114</c:v>
                </c:pt>
                <c:pt idx="63">
                  <c:v>27331</c:v>
                </c:pt>
                <c:pt idx="64">
                  <c:v>32548</c:v>
                </c:pt>
              </c:strCache>
            </c:strRef>
          </c:cat>
          <c:val>
            <c:numRef>
              <c:f>Graphs!$N$2:$N$67</c:f>
              <c:numCache>
                <c:formatCode>General</c:formatCode>
                <c:ptCount val="65"/>
                <c:pt idx="0">
                  <c:v>365.25646433200001</c:v>
                </c:pt>
                <c:pt idx="1">
                  <c:v>365.25641253600003</c:v>
                </c:pt>
                <c:pt idx="2">
                  <c:v>365.25636166300001</c:v>
                </c:pt>
                <c:pt idx="3">
                  <c:v>365.25641314699999</c:v>
                </c:pt>
                <c:pt idx="4">
                  <c:v>365.25646679099998</c:v>
                </c:pt>
                <c:pt idx="5">
                  <c:v>365.256420687</c:v>
                </c:pt>
                <c:pt idx="6">
                  <c:v>365.25637213900001</c:v>
                </c:pt>
                <c:pt idx="7">
                  <c:v>365.25641961399998</c:v>
                </c:pt>
                <c:pt idx="8">
                  <c:v>365.25646515199998</c:v>
                </c:pt>
                <c:pt idx="9">
                  <c:v>365.25641153800001</c:v>
                </c:pt>
                <c:pt idx="10">
                  <c:v>365.25636027799999</c:v>
                </c:pt>
                <c:pt idx="11">
                  <c:v>365.25641129899998</c:v>
                </c:pt>
                <c:pt idx="12">
                  <c:v>365.25646312499998</c:v>
                </c:pt>
                <c:pt idx="13">
                  <c:v>365.256414339</c:v>
                </c:pt>
                <c:pt idx="14">
                  <c:v>365.256364152</c:v>
                </c:pt>
                <c:pt idx="15">
                  <c:v>365.25641271500001</c:v>
                </c:pt>
                <c:pt idx="16">
                  <c:v>365.25646093500001</c:v>
                </c:pt>
                <c:pt idx="17">
                  <c:v>365.25640930200001</c:v>
                </c:pt>
                <c:pt idx="18">
                  <c:v>365.25635826600001</c:v>
                </c:pt>
                <c:pt idx="19">
                  <c:v>365.25640855699999</c:v>
                </c:pt>
                <c:pt idx="20">
                  <c:v>365.25646068200001</c:v>
                </c:pt>
                <c:pt idx="21">
                  <c:v>365.25641422000001</c:v>
                </c:pt>
                <c:pt idx="22">
                  <c:v>365.25636757900003</c:v>
                </c:pt>
                <c:pt idx="23">
                  <c:v>365.25641851900002</c:v>
                </c:pt>
                <c:pt idx="24">
                  <c:v>365.256467015</c:v>
                </c:pt>
                <c:pt idx="25">
                  <c:v>365.25641477099998</c:v>
                </c:pt>
                <c:pt idx="26">
                  <c:v>365.25636376400001</c:v>
                </c:pt>
                <c:pt idx="27">
                  <c:v>365.25641503899999</c:v>
                </c:pt>
                <c:pt idx="28">
                  <c:v>365.25646777499998</c:v>
                </c:pt>
                <c:pt idx="29">
                  <c:v>365.256419994</c:v>
                </c:pt>
                <c:pt idx="30">
                  <c:v>365.25636945700001</c:v>
                </c:pt>
                <c:pt idx="31">
                  <c:v>365.25641588899998</c:v>
                </c:pt>
                <c:pt idx="32">
                  <c:v>365.25646167999997</c:v>
                </c:pt>
                <c:pt idx="33">
                  <c:v>365.25640899699999</c:v>
                </c:pt>
                <c:pt idx="34">
                  <c:v>365.25635853400001</c:v>
                </c:pt>
                <c:pt idx="35">
                  <c:v>365.25640974200002</c:v>
                </c:pt>
                <c:pt idx="36">
                  <c:v>365.25646148599998</c:v>
                </c:pt>
                <c:pt idx="37">
                  <c:v>365.25641304999999</c:v>
                </c:pt>
                <c:pt idx="38">
                  <c:v>365.25636390599999</c:v>
                </c:pt>
                <c:pt idx="39">
                  <c:v>365.256413549</c:v>
                </c:pt>
                <c:pt idx="40">
                  <c:v>365.25646218999998</c:v>
                </c:pt>
                <c:pt idx="41">
                  <c:v>365.256410383</c:v>
                </c:pt>
                <c:pt idx="42">
                  <c:v>365.25635918199998</c:v>
                </c:pt>
                <c:pt idx="43">
                  <c:v>365.25641000600001</c:v>
                </c:pt>
                <c:pt idx="44">
                  <c:v>365.25646328200003</c:v>
                </c:pt>
                <c:pt idx="45">
                  <c:v>365.256417844</c:v>
                </c:pt>
                <c:pt idx="46">
                  <c:v>365.256371129</c:v>
                </c:pt>
                <c:pt idx="47">
                  <c:v>365.25642080599999</c:v>
                </c:pt>
                <c:pt idx="48">
                  <c:v>365.25646773</c:v>
                </c:pt>
                <c:pt idx="49">
                  <c:v>365.25641445600002</c:v>
                </c:pt>
                <c:pt idx="50">
                  <c:v>365.25636297800003</c:v>
                </c:pt>
                <c:pt idx="51">
                  <c:v>365.25641380799999</c:v>
                </c:pt>
                <c:pt idx="52">
                  <c:v>365.25646571999999</c:v>
                </c:pt>
                <c:pt idx="53">
                  <c:v>365.25641688899998</c:v>
                </c:pt>
                <c:pt idx="54">
                  <c:v>365.25636593799999</c:v>
                </c:pt>
                <c:pt idx="55">
                  <c:v>365.25641314000001</c:v>
                </c:pt>
                <c:pt idx="56">
                  <c:v>365.25646032600002</c:v>
                </c:pt>
                <c:pt idx="57">
                  <c:v>365.25640862500001</c:v>
                </c:pt>
                <c:pt idx="58">
                  <c:v>365.25635821499998</c:v>
                </c:pt>
                <c:pt idx="59">
                  <c:v>365.25640891500001</c:v>
                </c:pt>
                <c:pt idx="60">
                  <c:v>365.25646048099998</c:v>
                </c:pt>
                <c:pt idx="61">
                  <c:v>365.25641270099999</c:v>
                </c:pt>
                <c:pt idx="62">
                  <c:v>365.25636479399998</c:v>
                </c:pt>
                <c:pt idx="63">
                  <c:v>365.25641541200002</c:v>
                </c:pt>
                <c:pt idx="64">
                  <c:v>365.25646432500002</c:v>
                </c:pt>
              </c:numCache>
            </c:numRef>
          </c:val>
          <c:smooth val="1"/>
        </c:ser>
        <c:dLbls>
          <c:showLegendKey val="0"/>
          <c:showVal val="0"/>
          <c:showCatName val="0"/>
          <c:showSerName val="0"/>
          <c:showPercent val="0"/>
          <c:showBubbleSize val="0"/>
        </c:dLbls>
        <c:smooth val="0"/>
        <c:axId val="1317178992"/>
        <c:axId val="1317176816"/>
      </c:lineChart>
      <c:catAx>
        <c:axId val="131717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317176816"/>
        <c:crosses val="autoZero"/>
        <c:auto val="1"/>
        <c:lblAlgn val="ctr"/>
        <c:lblOffset val="100"/>
        <c:noMultiLvlLbl val="0"/>
      </c:catAx>
      <c:valAx>
        <c:axId val="1317176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317178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pivotSource>
    <c:name>[Holistic_year_analysis_65_years.xlsx]Graphs!Draaitabel4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Precession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areaChart>
        <c:grouping val="standard"/>
        <c:varyColors val="0"/>
        <c:ser>
          <c:idx val="0"/>
          <c:order val="0"/>
          <c:tx>
            <c:strRef>
              <c:f>Graphs!$S$1</c:f>
              <c:strCache>
                <c:ptCount val="1"/>
                <c:pt idx="0">
                  <c:v>Totaal</c:v>
                </c:pt>
              </c:strCache>
            </c:strRef>
          </c:tx>
          <c:spPr>
            <a:solidFill>
              <a:schemeClr val="accent1"/>
            </a:solidFill>
            <a:ln>
              <a:noFill/>
            </a:ln>
            <a:effectLst/>
          </c:spPr>
          <c:trendline>
            <c:spPr>
              <a:ln w="19050" cap="rnd">
                <a:solidFill>
                  <a:srgbClr val="FF0000"/>
                </a:solidFill>
                <a:prstDash val="sysDot"/>
              </a:ln>
              <a:effectLst/>
            </c:spPr>
            <c:trendlineType val="linear"/>
            <c:dispRSqr val="0"/>
            <c:dispEq val="0"/>
          </c:trendline>
          <c:cat>
            <c:strRef>
              <c:f>Graphs!$R$2:$R$67</c:f>
              <c:strCache>
                <c:ptCount val="65"/>
                <c:pt idx="0">
                  <c:v>-301340</c:v>
                </c:pt>
                <c:pt idx="1">
                  <c:v>-296123</c:v>
                </c:pt>
                <c:pt idx="2">
                  <c:v>-290906</c:v>
                </c:pt>
                <c:pt idx="3">
                  <c:v>-285689</c:v>
                </c:pt>
                <c:pt idx="4">
                  <c:v>-280472</c:v>
                </c:pt>
                <c:pt idx="5">
                  <c:v>-275255</c:v>
                </c:pt>
                <c:pt idx="6">
                  <c:v>-270038</c:v>
                </c:pt>
                <c:pt idx="7">
                  <c:v>-264821</c:v>
                </c:pt>
                <c:pt idx="8">
                  <c:v>-259604</c:v>
                </c:pt>
                <c:pt idx="9">
                  <c:v>-254387</c:v>
                </c:pt>
                <c:pt idx="10">
                  <c:v>-249170</c:v>
                </c:pt>
                <c:pt idx="11">
                  <c:v>-243953</c:v>
                </c:pt>
                <c:pt idx="12">
                  <c:v>-238736</c:v>
                </c:pt>
                <c:pt idx="13">
                  <c:v>-233519</c:v>
                </c:pt>
                <c:pt idx="14">
                  <c:v>-228302</c:v>
                </c:pt>
                <c:pt idx="15">
                  <c:v>-223085</c:v>
                </c:pt>
                <c:pt idx="16">
                  <c:v>-217868</c:v>
                </c:pt>
                <c:pt idx="17">
                  <c:v>-212651</c:v>
                </c:pt>
                <c:pt idx="18">
                  <c:v>-207434</c:v>
                </c:pt>
                <c:pt idx="19">
                  <c:v>-202217</c:v>
                </c:pt>
                <c:pt idx="20">
                  <c:v>-197000</c:v>
                </c:pt>
                <c:pt idx="21">
                  <c:v>-191783</c:v>
                </c:pt>
                <c:pt idx="22">
                  <c:v>-186566</c:v>
                </c:pt>
                <c:pt idx="23">
                  <c:v>-181349</c:v>
                </c:pt>
                <c:pt idx="24">
                  <c:v>-176132</c:v>
                </c:pt>
                <c:pt idx="25">
                  <c:v>-170915</c:v>
                </c:pt>
                <c:pt idx="26">
                  <c:v>-165698</c:v>
                </c:pt>
                <c:pt idx="27">
                  <c:v>-160481</c:v>
                </c:pt>
                <c:pt idx="28">
                  <c:v>-155264</c:v>
                </c:pt>
                <c:pt idx="29">
                  <c:v>-150047</c:v>
                </c:pt>
                <c:pt idx="30">
                  <c:v>-144830</c:v>
                </c:pt>
                <c:pt idx="31">
                  <c:v>-139613</c:v>
                </c:pt>
                <c:pt idx="32">
                  <c:v>-134396</c:v>
                </c:pt>
                <c:pt idx="33">
                  <c:v>-129179</c:v>
                </c:pt>
                <c:pt idx="34">
                  <c:v>-123962</c:v>
                </c:pt>
                <c:pt idx="35">
                  <c:v>-118745</c:v>
                </c:pt>
                <c:pt idx="36">
                  <c:v>-113528</c:v>
                </c:pt>
                <c:pt idx="37">
                  <c:v>-108311</c:v>
                </c:pt>
                <c:pt idx="38">
                  <c:v>-103094</c:v>
                </c:pt>
                <c:pt idx="39">
                  <c:v>-97877</c:v>
                </c:pt>
                <c:pt idx="40">
                  <c:v>-92660</c:v>
                </c:pt>
                <c:pt idx="41">
                  <c:v>-87443</c:v>
                </c:pt>
                <c:pt idx="42">
                  <c:v>-82226</c:v>
                </c:pt>
                <c:pt idx="43">
                  <c:v>-77009</c:v>
                </c:pt>
                <c:pt idx="44">
                  <c:v>-71792</c:v>
                </c:pt>
                <c:pt idx="45">
                  <c:v>-66575</c:v>
                </c:pt>
                <c:pt idx="46">
                  <c:v>-61358</c:v>
                </c:pt>
                <c:pt idx="47">
                  <c:v>-56141</c:v>
                </c:pt>
                <c:pt idx="48">
                  <c:v>-50924</c:v>
                </c:pt>
                <c:pt idx="49">
                  <c:v>-45707</c:v>
                </c:pt>
                <c:pt idx="50">
                  <c:v>-40490</c:v>
                </c:pt>
                <c:pt idx="51">
                  <c:v>-35273</c:v>
                </c:pt>
                <c:pt idx="52">
                  <c:v>-30056</c:v>
                </c:pt>
                <c:pt idx="53">
                  <c:v>-24839</c:v>
                </c:pt>
                <c:pt idx="54">
                  <c:v>-19622</c:v>
                </c:pt>
                <c:pt idx="55">
                  <c:v>-14405</c:v>
                </c:pt>
                <c:pt idx="56">
                  <c:v>-9188</c:v>
                </c:pt>
                <c:pt idx="57">
                  <c:v>-3971</c:v>
                </c:pt>
                <c:pt idx="58">
                  <c:v>1246</c:v>
                </c:pt>
                <c:pt idx="59">
                  <c:v>6463</c:v>
                </c:pt>
                <c:pt idx="60">
                  <c:v>11680</c:v>
                </c:pt>
                <c:pt idx="61">
                  <c:v>16897</c:v>
                </c:pt>
                <c:pt idx="62">
                  <c:v>22114</c:v>
                </c:pt>
                <c:pt idx="63">
                  <c:v>27331</c:v>
                </c:pt>
                <c:pt idx="64">
                  <c:v>32548</c:v>
                </c:pt>
              </c:strCache>
            </c:strRef>
          </c:cat>
          <c:val>
            <c:numRef>
              <c:f>Graphs!$S$2:$S$67</c:f>
              <c:numCache>
                <c:formatCode>General</c:formatCode>
                <c:ptCount val="65"/>
                <c:pt idx="0">
                  <c:v>25563.701259757101</c:v>
                </c:pt>
                <c:pt idx="1">
                  <c:v>25665.792525032313</c:v>
                </c:pt>
                <c:pt idx="2">
                  <c:v>25782.304552932073</c:v>
                </c:pt>
                <c:pt idx="3">
                  <c:v>25713.286587267547</c:v>
                </c:pt>
                <c:pt idx="4">
                  <c:v>25625.469040630687</c:v>
                </c:pt>
                <c:pt idx="5">
                  <c:v>25695.342846621301</c:v>
                </c:pt>
                <c:pt idx="6">
                  <c:v>25753.103654102855</c:v>
                </c:pt>
                <c:pt idx="7">
                  <c:v>25635.508679856765</c:v>
                </c:pt>
                <c:pt idx="8">
                  <c:v>25537.481238090866</c:v>
                </c:pt>
                <c:pt idx="9">
                  <c:v>25640.649536093242</c:v>
                </c:pt>
                <c:pt idx="10">
                  <c:v>25758.420496331535</c:v>
                </c:pt>
                <c:pt idx="11">
                  <c:v>25693.38285833038</c:v>
                </c:pt>
                <c:pt idx="12">
                  <c:v>25613.513480469712</c:v>
                </c:pt>
                <c:pt idx="13">
                  <c:v>25693.96867022158</c:v>
                </c:pt>
                <c:pt idx="14">
                  <c:v>25761.507410319802</c:v>
                </c:pt>
                <c:pt idx="15">
                  <c:v>25649.457994103122</c:v>
                </c:pt>
                <c:pt idx="16">
                  <c:v>25554.152256571393</c:v>
                </c:pt>
                <c:pt idx="17">
                  <c:v>25660.5218062284</c:v>
                </c:pt>
                <c:pt idx="18">
                  <c:v>25782.906711497752</c:v>
                </c:pt>
                <c:pt idx="19">
                  <c:v>25721.914578100987</c:v>
                </c:pt>
                <c:pt idx="20">
                  <c:v>25642.483664998286</c:v>
                </c:pt>
                <c:pt idx="21">
                  <c:v>25718.486498013925</c:v>
                </c:pt>
                <c:pt idx="22">
                  <c:v>25777.614141748672</c:v>
                </c:pt>
                <c:pt idx="23">
                  <c:v>25657.076077481805</c:v>
                </c:pt>
                <c:pt idx="24">
                  <c:v>25555.211118390609</c:v>
                </c:pt>
                <c:pt idx="25">
                  <c:v>25655.354775315889</c:v>
                </c:pt>
                <c:pt idx="26">
                  <c:v>25769.986279103061</c:v>
                </c:pt>
                <c:pt idx="27">
                  <c:v>25700.178785584387</c:v>
                </c:pt>
                <c:pt idx="28">
                  <c:v>25613.555117829132</c:v>
                </c:pt>
                <c:pt idx="29">
                  <c:v>25686.473982712407</c:v>
                </c:pt>
                <c:pt idx="30">
                  <c:v>25748.610213107972</c:v>
                </c:pt>
                <c:pt idx="31">
                  <c:v>25634.590845358936</c:v>
                </c:pt>
                <c:pt idx="32">
                  <c:v>25538.641618685622</c:v>
                </c:pt>
                <c:pt idx="33">
                  <c:v>25643.232544720206</c:v>
                </c:pt>
                <c:pt idx="34">
                  <c:v>25762.867987035581</c:v>
                </c:pt>
                <c:pt idx="35">
                  <c:v>25700.453279886671</c:v>
                </c:pt>
                <c:pt idx="36">
                  <c:v>25623.298885902175</c:v>
                </c:pt>
                <c:pt idx="37">
                  <c:v>25705.338808371467</c:v>
                </c:pt>
                <c:pt idx="38">
                  <c:v>25772.621063169379</c:v>
                </c:pt>
                <c:pt idx="39">
                  <c:v>25659.227802425095</c:v>
                </c:pt>
                <c:pt idx="40">
                  <c:v>25562.636603024119</c:v>
                </c:pt>
                <c:pt idx="41">
                  <c:v>25667.743888342135</c:v>
                </c:pt>
                <c:pt idx="42">
                  <c:v>25788.005540781709</c:v>
                </c:pt>
                <c:pt idx="43">
                  <c:v>25723.079447939039</c:v>
                </c:pt>
                <c:pt idx="44">
                  <c:v>25638.455618820633</c:v>
                </c:pt>
                <c:pt idx="45">
                  <c:v>25709.355848122425</c:v>
                </c:pt>
                <c:pt idx="46">
                  <c:v>25765.491289023601</c:v>
                </c:pt>
                <c:pt idx="47">
                  <c:v>25644.632292352933</c:v>
                </c:pt>
                <c:pt idx="48">
                  <c:v>25543.739319696808</c:v>
                </c:pt>
                <c:pt idx="49">
                  <c:v>25644.75788270573</c:v>
                </c:pt>
                <c:pt idx="50">
                  <c:v>25760.458985680652</c:v>
                </c:pt>
                <c:pt idx="51">
                  <c:v>25692.73782345041</c:v>
                </c:pt>
                <c:pt idx="52">
                  <c:v>25609.519667919798</c:v>
                </c:pt>
                <c:pt idx="53">
                  <c:v>25686.714016278154</c:v>
                </c:pt>
                <c:pt idx="54">
                  <c:v>25752.44047721539</c:v>
                </c:pt>
                <c:pt idx="55">
                  <c:v>25640.183470256761</c:v>
                </c:pt>
                <c:pt idx="56">
                  <c:v>25544.878555819272</c:v>
                </c:pt>
                <c:pt idx="57">
                  <c:v>25650.524053341545</c:v>
                </c:pt>
                <c:pt idx="58">
                  <c:v>25772.10966612515</c:v>
                </c:pt>
                <c:pt idx="59">
                  <c:v>25711.726024843738</c:v>
                </c:pt>
                <c:pt idx="60">
                  <c:v>25635.288445849848</c:v>
                </c:pt>
                <c:pt idx="61">
                  <c:v>25716.012948159918</c:v>
                </c:pt>
                <c:pt idx="62">
                  <c:v>25780.204789376348</c:v>
                </c:pt>
                <c:pt idx="63">
                  <c:v>25663.293346197792</c:v>
                </c:pt>
                <c:pt idx="64">
                  <c:v>25563.719150807705</c:v>
                </c:pt>
              </c:numCache>
            </c:numRef>
          </c:val>
        </c:ser>
        <c:dLbls>
          <c:showLegendKey val="0"/>
          <c:showVal val="0"/>
          <c:showCatName val="0"/>
          <c:showSerName val="0"/>
          <c:showPercent val="0"/>
          <c:showBubbleSize val="0"/>
        </c:dLbls>
        <c:axId val="1635442000"/>
        <c:axId val="1635442544"/>
      </c:areaChart>
      <c:catAx>
        <c:axId val="163544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635442544"/>
        <c:crosses val="autoZero"/>
        <c:auto val="1"/>
        <c:lblAlgn val="ctr"/>
        <c:lblOffset val="100"/>
        <c:noMultiLvlLbl val="0"/>
      </c:catAx>
      <c:valAx>
        <c:axId val="163544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6354420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273843</xdr:colOff>
      <xdr:row>1</xdr:row>
      <xdr:rowOff>7143</xdr:rowOff>
    </xdr:from>
    <xdr:to>
      <xdr:col>6</xdr:col>
      <xdr:colOff>16668</xdr:colOff>
      <xdr:row>14</xdr:row>
      <xdr:rowOff>150018</xdr:rowOff>
    </xdr:to>
    <xdr:graphicFrame macro="">
      <xdr:nvGraphicFramePr>
        <xdr:cNvPr id="2" name="Grafiek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264319</xdr:colOff>
      <xdr:row>1</xdr:row>
      <xdr:rowOff>40480</xdr:rowOff>
    </xdr:from>
    <xdr:to>
      <xdr:col>11</xdr:col>
      <xdr:colOff>314325</xdr:colOff>
      <xdr:row>14</xdr:row>
      <xdr:rowOff>183355</xdr:rowOff>
    </xdr:to>
    <xdr:graphicFrame macro="">
      <xdr:nvGraphicFramePr>
        <xdr:cNvPr id="3" name="Grafiek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664369</xdr:colOff>
      <xdr:row>0</xdr:row>
      <xdr:rowOff>183355</xdr:rowOff>
    </xdr:from>
    <xdr:to>
      <xdr:col>16</xdr:col>
      <xdr:colOff>450057</xdr:colOff>
      <xdr:row>14</xdr:row>
      <xdr:rowOff>126205</xdr:rowOff>
    </xdr:to>
    <xdr:graphicFrame macro="">
      <xdr:nvGraphicFramePr>
        <xdr:cNvPr id="4" name="Grafiek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309562</xdr:colOff>
      <xdr:row>17</xdr:row>
      <xdr:rowOff>16668</xdr:rowOff>
    </xdr:from>
    <xdr:to>
      <xdr:col>11</xdr:col>
      <xdr:colOff>280987</xdr:colOff>
      <xdr:row>30</xdr:row>
      <xdr:rowOff>159543</xdr:rowOff>
    </xdr:to>
    <xdr:graphicFrame macro="">
      <xdr:nvGraphicFramePr>
        <xdr:cNvPr id="5" name="Grafiek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ennis" refreshedDate="46045.430714236114" createdVersion="5" refreshedVersion="5" minRefreshableVersion="3" recordCount="65">
  <cacheSource type="worksheet">
    <worksheetSource ref="A1:K66" sheet="Detailed"/>
  </cacheSource>
  <cacheFields count="11">
    <cacheField name="Year" numFmtId="0">
      <sharedItems containsSemiMixedTypes="0" containsString="0" containsNumber="1" containsInteger="1" minValue="-301340" maxValue="32548" count="65">
        <n v="-301340"/>
        <n v="-296123"/>
        <n v="-290906"/>
        <n v="-285689"/>
        <n v="-280472"/>
        <n v="-275255"/>
        <n v="-270038"/>
        <n v="-264821"/>
        <n v="-259604"/>
        <n v="-254387"/>
        <n v="-249170"/>
        <n v="-243953"/>
        <n v="-238736"/>
        <n v="-233519"/>
        <n v="-228302"/>
        <n v="-223085"/>
        <n v="-217868"/>
        <n v="-212651"/>
        <n v="-207434"/>
        <n v="-202217"/>
        <n v="-197000"/>
        <n v="-191783"/>
        <n v="-186566"/>
        <n v="-181349"/>
        <n v="-176132"/>
        <n v="-170915"/>
        <n v="-165698"/>
        <n v="-160481"/>
        <n v="-155264"/>
        <n v="-150047"/>
        <n v="-144830"/>
        <n v="-139613"/>
        <n v="-134396"/>
        <n v="-129179"/>
        <n v="-123962"/>
        <n v="-118745"/>
        <n v="-113528"/>
        <n v="-108311"/>
        <n v="-103094"/>
        <n v="-97877"/>
        <n v="-92660"/>
        <n v="-87443"/>
        <n v="-82226"/>
        <n v="-77009"/>
        <n v="-71792"/>
        <n v="-66575"/>
        <n v="-61358"/>
        <n v="-56141"/>
        <n v="-50924"/>
        <n v="-45707"/>
        <n v="-40490"/>
        <n v="-35273"/>
        <n v="-30056"/>
        <n v="-24839"/>
        <n v="-19622"/>
        <n v="-14405"/>
        <n v="-9188"/>
        <n v="-3971"/>
        <n v="1246"/>
        <n v="6463"/>
        <n v="11680"/>
        <n v="16897"/>
        <n v="22114"/>
        <n v="27331"/>
        <n v="32548"/>
      </sharedItems>
    </cacheField>
    <cacheField name="Obliquity (°)" numFmtId="0">
      <sharedItems containsSemiMixedTypes="0" containsString="0" containsNumber="1" minValue="22.194467" maxValue="24.681678000000002"/>
    </cacheField>
    <cacheField name="Eccentricity" numFmtId="0">
      <sharedItems containsSemiMixedTypes="0" containsString="0" containsNumber="1" minValue="1.38984E-2" maxValue="1.6743600000000001E-2"/>
    </cacheField>
    <cacheField name="Mean Tropical Year" numFmtId="0">
      <sharedItems containsSemiMixedTypes="0" containsString="0" containsNumber="1" minValue="365.24215957000001" maxValue="365.24221685200001"/>
    </cacheField>
    <cacheField name="VE Interval" numFmtId="0">
      <sharedItems containsSemiMixedTypes="0" containsString="0" containsNumber="1" minValue="365.24187232600002" maxValue="365.242498856"/>
    </cacheField>
    <cacheField name="SS Interval" numFmtId="0">
      <sharedItems containsSemiMixedTypes="0" containsString="0" containsNumber="1" minValue="365.24191902600001" maxValue="365.242458269"/>
    </cacheField>
    <cacheField name="AE Interval" numFmtId="0">
      <sharedItems containsSemiMixedTypes="0" containsString="0" containsNumber="1" minValue="365.24187664700003" maxValue="365.242502108"/>
    </cacheField>
    <cacheField name="WS Interval" numFmtId="0">
      <sharedItems containsSemiMixedTypes="0" containsString="0" containsNumber="1" minValue="365.24192108199998" maxValue="365.242457479"/>
    </cacheField>
    <cacheField name="Peri Interval" numFmtId="0">
      <sharedItems containsSemiMixedTypes="0" containsString="0" containsNumber="1" minValue="365.25969173800001" maxValue="365.25969307100002"/>
    </cacheField>
    <cacheField name="Aph Interval" numFmtId="0">
      <sharedItems containsSemiMixedTypes="0" containsString="0" containsNumber="1" minValue="365.259691734" maxValue="365.25969308600003"/>
    </cacheField>
    <cacheField name="Sidereal Interval (days)" numFmtId="0">
      <sharedItems containsSemiMixedTypes="0" containsString="0" containsNumber="1" minValue="365.25635821499998" maxValue="365.256467774999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Dennis" refreshedDate="46045.434760648146" createdVersion="5" refreshedVersion="5" minRefreshableVersion="3" recordCount="65">
  <cacheSource type="worksheet">
    <worksheetSource ref="A1:L66" sheet="Detailed"/>
  </cacheSource>
  <cacheFields count="12">
    <cacheField name="Year" numFmtId="0">
      <sharedItems containsSemiMixedTypes="0" containsString="0" containsNumber="1" containsInteger="1" minValue="-301340" maxValue="32548" count="65">
        <n v="-301340"/>
        <n v="-296123"/>
        <n v="-290906"/>
        <n v="-285689"/>
        <n v="-280472"/>
        <n v="-275255"/>
        <n v="-270038"/>
        <n v="-264821"/>
        <n v="-259604"/>
        <n v="-254387"/>
        <n v="-249170"/>
        <n v="-243953"/>
        <n v="-238736"/>
        <n v="-233519"/>
        <n v="-228302"/>
        <n v="-223085"/>
        <n v="-217868"/>
        <n v="-212651"/>
        <n v="-207434"/>
        <n v="-202217"/>
        <n v="-197000"/>
        <n v="-191783"/>
        <n v="-186566"/>
        <n v="-181349"/>
        <n v="-176132"/>
        <n v="-170915"/>
        <n v="-165698"/>
        <n v="-160481"/>
        <n v="-155264"/>
        <n v="-150047"/>
        <n v="-144830"/>
        <n v="-139613"/>
        <n v="-134396"/>
        <n v="-129179"/>
        <n v="-123962"/>
        <n v="-118745"/>
        <n v="-113528"/>
        <n v="-108311"/>
        <n v="-103094"/>
        <n v="-97877"/>
        <n v="-92660"/>
        <n v="-87443"/>
        <n v="-82226"/>
        <n v="-77009"/>
        <n v="-71792"/>
        <n v="-66575"/>
        <n v="-61358"/>
        <n v="-56141"/>
        <n v="-50924"/>
        <n v="-45707"/>
        <n v="-40490"/>
        <n v="-35273"/>
        <n v="-30056"/>
        <n v="-24839"/>
        <n v="-19622"/>
        <n v="-14405"/>
        <n v="-9188"/>
        <n v="-3971"/>
        <n v="1246"/>
        <n v="6463"/>
        <n v="11680"/>
        <n v="16897"/>
        <n v="22114"/>
        <n v="27331"/>
        <n v="32548"/>
      </sharedItems>
    </cacheField>
    <cacheField name="Obliquity (°)" numFmtId="0">
      <sharedItems containsSemiMixedTypes="0" containsString="0" containsNumber="1" minValue="22.194467" maxValue="24.681678000000002"/>
    </cacheField>
    <cacheField name="Eccentricity" numFmtId="0">
      <sharedItems containsSemiMixedTypes="0" containsString="0" containsNumber="1" minValue="1.38984E-2" maxValue="1.6743600000000001E-2"/>
    </cacheField>
    <cacheField name="Mean Tropical Year" numFmtId="0">
      <sharedItems containsSemiMixedTypes="0" containsString="0" containsNumber="1" minValue="365.24215957000001" maxValue="365.24221685200001"/>
    </cacheField>
    <cacheField name="VE Interval" numFmtId="0">
      <sharedItems containsSemiMixedTypes="0" containsString="0" containsNumber="1" minValue="365.24187232600002" maxValue="365.242498856"/>
    </cacheField>
    <cacheField name="SS Interval" numFmtId="0">
      <sharedItems containsSemiMixedTypes="0" containsString="0" containsNumber="1" minValue="365.24191902600001" maxValue="365.242458269"/>
    </cacheField>
    <cacheField name="AE Interval" numFmtId="0">
      <sharedItems containsSemiMixedTypes="0" containsString="0" containsNumber="1" minValue="365.24187664700003" maxValue="365.242502108"/>
    </cacheField>
    <cacheField name="WS Interval" numFmtId="0">
      <sharedItems containsSemiMixedTypes="0" containsString="0" containsNumber="1" minValue="365.24192108199998" maxValue="365.242457479"/>
    </cacheField>
    <cacheField name="Peri Interval" numFmtId="0">
      <sharedItems containsSemiMixedTypes="0" containsString="0" containsNumber="1" minValue="365.25969173800001" maxValue="365.25969307100002"/>
    </cacheField>
    <cacheField name="Aph Interval" numFmtId="0">
      <sharedItems containsSemiMixedTypes="0" containsString="0" containsNumber="1" minValue="365.259691734" maxValue="365.25969308600003"/>
    </cacheField>
    <cacheField name="Sidereal Interval (days)" numFmtId="0">
      <sharedItems containsSemiMixedTypes="0" containsString="0" containsNumber="1" minValue="365.25635821499998" maxValue="365.25646777499998"/>
    </cacheField>
    <cacheField name="Precession" numFmtId="0">
      <sharedItems containsSemiMixedTypes="0" containsString="0" containsNumber="1" minValue="25537.481238090866" maxValue="25788.00554078170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5">
  <r>
    <x v="0"/>
    <n v="23.413979999999999"/>
    <n v="1.38984E-2"/>
    <n v="365.24217624200003"/>
    <n v="365.242165715"/>
    <n v="365.24245746399998"/>
    <n v="365.24216061800001"/>
    <n v="365.24192117199999"/>
    <n v="365.25969237100003"/>
    <n v="365.25969235600002"/>
    <n v="365.25646433200001"/>
  </r>
  <r>
    <x v="1"/>
    <n v="23.255234000000002"/>
    <n v="1.538982E-2"/>
    <n v="365.24218128199999"/>
    <n v="365.24190503400001"/>
    <n v="365.24218912399999"/>
    <n v="365.24244183299999"/>
    <n v="365.242189139"/>
    <n v="365.259692401"/>
    <n v="365.259692401"/>
    <n v="365.25641253600003"/>
  </r>
  <r>
    <x v="2"/>
    <n v="22.886448000000001"/>
    <n v="1.6743600000000001E-2"/>
    <n v="365.24219472300001"/>
    <n v="365.242198363"/>
    <n v="365.241920978"/>
    <n v="365.24220228199999"/>
    <n v="365.24245727099998"/>
    <n v="365.259692401"/>
    <n v="365.259692401"/>
    <n v="365.25636166300001"/>
  </r>
  <r>
    <x v="3"/>
    <n v="22.563410000000001"/>
    <n v="1.538408E-2"/>
    <n v="365.24220817899999"/>
    <n v="365.24249422600002"/>
    <n v="365.24218967600001"/>
    <n v="365.24195909500003"/>
    <n v="365.24218972"/>
    <n v="365.25969186399999"/>
    <n v="365.25969183400002"/>
    <n v="365.25641314699999"/>
  </r>
  <r>
    <x v="4"/>
    <n v="22.537782"/>
    <n v="1.38984E-2"/>
    <n v="365.24221314099998"/>
    <n v="365.24224035399999"/>
    <n v="365.24245770300001"/>
    <n v="365.24223312700002"/>
    <n v="365.24192138000001"/>
    <n v="365.259692535"/>
    <n v="365.25969250499998"/>
    <n v="365.25646679099998"/>
  </r>
  <r>
    <x v="5"/>
    <n v="22.904309000000001"/>
    <n v="1.538963E-2"/>
    <n v="365.24220579899998"/>
    <n v="365.24195590599999"/>
    <n v="365.24218812599997"/>
    <n v="365.24249109599998"/>
    <n v="365.24218806599998"/>
    <n v="365.25969263899998"/>
    <n v="365.259692669"/>
    <n v="365.256420687"/>
  </r>
  <r>
    <x v="6"/>
    <n v="23.538454000000002"/>
    <n v="1.6743600000000001E-2"/>
    <n v="365.24218913499999"/>
    <n v="365.24218593500001"/>
    <n v="365.24191902600001"/>
    <n v="365.24219617199998"/>
    <n v="365.24245540800001"/>
    <n v="365.25969196900002"/>
    <n v="365.25969196900002"/>
    <n v="365.25637213900001"/>
  </r>
  <r>
    <x v="7"/>
    <n v="24.161581000000002"/>
    <n v="1.538427E-2"/>
    <n v="365.24217154799999"/>
    <n v="365.24242341500002"/>
    <n v="365.242188349"/>
    <n v="365.24188615399999"/>
    <n v="365.24218827499999"/>
    <n v="365.25969284799999"/>
    <n v="365.25969284799999"/>
    <n v="365.25641961399998"/>
  </r>
  <r>
    <x v="8"/>
    <n v="24.496179999999999"/>
    <n v="1.38984E-2"/>
    <n v="365.24216239200001"/>
    <n v="365.24213859399998"/>
    <n v="365.24245795600001"/>
    <n v="365.24213136700001"/>
    <n v="365.24192164800002"/>
    <n v="365.25969256500002"/>
    <n v="365.25969256500002"/>
    <n v="365.25646515199998"/>
  </r>
  <r>
    <x v="9"/>
    <n v="24.420884000000001"/>
    <n v="1.5389440000000001E-2"/>
    <n v="365.24216632899999"/>
    <n v="365.241874069"/>
    <n v="365.24218970499999"/>
    <n v="365.24241179199998"/>
    <n v="365.24218975000002"/>
    <n v="365.25969176000001"/>
    <n v="365.25969177500002"/>
    <n v="365.25641153800001"/>
  </r>
  <r>
    <x v="10"/>
    <n v="24.035136000000001"/>
    <n v="1.6743600000000001E-2"/>
    <n v="365.24218020199999"/>
    <n v="365.24216999100003"/>
    <n v="365.24192069499998"/>
    <n v="365.24217310500001"/>
    <n v="365.24245701699999"/>
    <n v="365.259692401"/>
    <n v="365.259692401"/>
    <n v="365.25636027799999"/>
  </r>
  <r>
    <x v="11"/>
    <n v="23.596174000000001"/>
    <n v="1.5384470000000001E-2"/>
    <n v="365.24219532699999"/>
    <n v="365.24246978799999"/>
    <n v="365.24218884099997"/>
    <n v="365.24193388200001"/>
    <n v="365.24218879599999"/>
    <n v="365.25969238599998"/>
    <n v="365.25969238599998"/>
    <n v="365.25641129899998"/>
  </r>
  <r>
    <x v="12"/>
    <n v="23.365655"/>
    <n v="1.38984E-2"/>
    <n v="365.24220282200002"/>
    <n v="365.24221840500002"/>
    <n v="365.24245743500001"/>
    <n v="365.242214322"/>
    <n v="365.24192112700001"/>
    <n v="365.259692341"/>
    <n v="365.25969235600002"/>
    <n v="365.25646312499998"/>
  </r>
  <r>
    <x v="13"/>
    <n v="23.455998000000001"/>
    <n v="1.538925E-2"/>
    <n v="365.242198691"/>
    <n v="365.24194019999999"/>
    <n v="365.24218931799999"/>
    <n v="365.24247589700002"/>
    <n v="365.24218934800001"/>
    <n v="365.25969231099998"/>
    <n v="365.25969231099998"/>
    <n v="365.256414339"/>
  </r>
  <r>
    <x v="14"/>
    <n v="23.766480000000001"/>
    <n v="1.6743600000000001E-2"/>
    <n v="365.242185775"/>
    <n v="365.24217945300001"/>
    <n v="365.24192112700001"/>
    <n v="365.24218511599997"/>
    <n v="365.24245740499998"/>
    <n v="365.25969214700001"/>
    <n v="365.25969214700001"/>
    <n v="365.256364152"/>
  </r>
  <r>
    <x v="15"/>
    <n v="24.04635"/>
    <n v="1.538466E-2"/>
    <n v="365.24217239799998"/>
    <n v="365.24242383199999"/>
    <n v="365.24218961600002"/>
    <n v="365.24188652599997"/>
    <n v="365.24218961600002"/>
    <n v="365.25969274300002"/>
    <n v="365.25969277299998"/>
    <n v="365.25641271500001"/>
  </r>
  <r>
    <x v="16"/>
    <n v="24.047644999999999"/>
    <n v="1.38984E-2"/>
    <n v="365.24216750599999"/>
    <n v="365.24214702799998"/>
    <n v="365.24245749400001"/>
    <n v="365.24214433100002"/>
    <n v="365.24192117199999"/>
    <n v="365.259692341"/>
    <n v="365.259692341"/>
    <n v="365.25646093500001"/>
  </r>
  <r>
    <x v="17"/>
    <n v="23.677671"/>
    <n v="1.538906E-2"/>
    <n v="365.24217512500002"/>
    <n v="365.24189363400001"/>
    <n v="365.24218806599998"/>
    <n v="365.24243076099998"/>
    <n v="365.24218803600002"/>
    <n v="365.25969210300002"/>
    <n v="365.25969210300002"/>
    <n v="365.25640930200001"/>
  </r>
  <r>
    <x v="18"/>
    <n v="23.061216999999999"/>
    <n v="1.6743600000000001E-2"/>
    <n v="365.24219165699998"/>
    <n v="365.24219562100001"/>
    <n v="365.24191930900002"/>
    <n v="365.24219602300002"/>
    <n v="365.24245567600002"/>
    <n v="365.25969247500001"/>
    <n v="365.25969247500001"/>
    <n v="365.25635826600001"/>
  </r>
  <r>
    <x v="19"/>
    <n v="22.475376000000001"/>
    <n v="1.538485E-2"/>
    <n v="365.24220835400001"/>
    <n v="365.24249552200001"/>
    <n v="365.24218879599999"/>
    <n v="365.24196039100002"/>
    <n v="365.24218870700003"/>
    <n v="365.25969182"/>
    <n v="365.25969182"/>
    <n v="365.25640855699999"/>
  </r>
  <r>
    <x v="20"/>
    <n v="22.194467"/>
    <n v="1.38984E-2"/>
    <n v="365.24221648999998"/>
    <n v="365.24224486899999"/>
    <n v="365.24245816500002"/>
    <n v="365.242241025"/>
    <n v="365.241921902"/>
    <n v="365.259692535"/>
    <n v="365.25969251999999"/>
    <n v="365.25646068200001"/>
  </r>
  <r>
    <x v="21"/>
    <n v="22.335277000000001"/>
    <n v="1.5388860000000001E-2"/>
    <n v="365.24221212399999"/>
    <n v="365.241967246"/>
    <n v="365.24218954100002"/>
    <n v="365.242502108"/>
    <n v="365.24218960100001"/>
    <n v="365.25969307100002"/>
    <n v="365.25969308600003"/>
    <n v="365.25641422000001"/>
  </r>
  <r>
    <x v="22"/>
    <n v="22.792767999999999"/>
    <n v="1.6743600000000001E-2"/>
    <n v="365.24219806100001"/>
    <n v="365.24220371199999"/>
    <n v="365.24192028499999"/>
    <n v="365.24221163999999"/>
    <n v="365.242456608"/>
    <n v="365.259691976"/>
    <n v="365.25969198299998"/>
    <n v="365.25636757900003"/>
  </r>
  <r>
    <x v="23"/>
    <n v="23.303540999999999"/>
    <n v="1.5385039999999999E-2"/>
    <n v="365.24218243000001"/>
    <n v="365.24244469400003"/>
    <n v="365.24218851299997"/>
    <n v="365.24190806600001"/>
    <n v="365.242188446"/>
    <n v="365.25969216999999"/>
    <n v="365.25969216999999"/>
    <n v="365.25641851900002"/>
  </r>
  <r>
    <x v="24"/>
    <n v="23.599737000000001"/>
    <n v="1.38984E-2"/>
    <n v="365.24217417800003"/>
    <n v="365.242162608"/>
    <n v="365.242457382"/>
    <n v="365.24215564100001"/>
    <n v="365.24192108199998"/>
    <n v="365.25969242299999"/>
    <n v="365.25969242299999"/>
    <n v="365.256467015"/>
  </r>
  <r>
    <x v="25"/>
    <n v="23.563236"/>
    <n v="1.538867E-2"/>
    <n v="365.24217772700001"/>
    <n v="365.24189751599999"/>
    <n v="365.24218940700001"/>
    <n v="365.24243450900002"/>
    <n v="365.24218947399999"/>
    <n v="365.25969225199998"/>
    <n v="365.25969225199998"/>
    <n v="365.25641477099998"/>
  </r>
  <r>
    <x v="26"/>
    <n v="23.29008"/>
    <n v="1.6743600000000001E-2"/>
    <n v="365.24219005200001"/>
    <n v="365.24218826700002"/>
    <n v="365.24192117199999"/>
    <n v="365.24219330400001"/>
    <n v="365.24245746399998"/>
    <n v="365.25969242999997"/>
    <n v="365.25969242299999"/>
    <n v="365.25636376400001"/>
  </r>
  <r>
    <x v="27"/>
    <n v="23.027785000000002"/>
    <n v="1.538523E-2"/>
    <n v="365.24220282599998"/>
    <n v="365.24248387699998"/>
    <n v="365.24218951199998"/>
    <n v="365.24194842600002"/>
    <n v="365.242189489"/>
    <n v="365.25969211799998"/>
    <n v="365.25969211799998"/>
    <n v="365.25641503899999"/>
  </r>
  <r>
    <x v="28"/>
    <n v="23.022819999999999"/>
    <n v="1.38984E-2"/>
    <n v="365.242207495"/>
    <n v="365.24222942400002"/>
    <n v="365.24245740499998"/>
    <n v="365.242222056"/>
    <n v="365.24192109699999"/>
    <n v="365.259692438"/>
    <n v="365.25969244499998"/>
    <n v="365.25646777499998"/>
  </r>
  <r>
    <x v="29"/>
    <n v="23.368241000000001"/>
    <n v="1.538848E-2"/>
    <n v="365.24220019799998"/>
    <n v="365.24194443200003"/>
    <n v="365.242188193"/>
    <n v="365.24247996499997"/>
    <n v="365.24218819999999"/>
    <n v="365.25969226699999"/>
    <n v="365.25969225900002"/>
    <n v="365.256419994"/>
  </r>
  <r>
    <x v="30"/>
    <n v="23.941417999999999"/>
    <n v="1.6743600000000001E-2"/>
    <n v="365.24218397800001"/>
    <n v="365.24217536999998"/>
    <n v="365.24191975600002"/>
    <n v="365.24218467600002"/>
    <n v="365.242456108"/>
    <n v="365.25969196900002"/>
    <n v="365.25969196099999"/>
    <n v="365.25636945700001"/>
  </r>
  <r>
    <x v="31"/>
    <n v="24.469004000000002"/>
    <n v="1.538542E-2"/>
    <n v="365.24216731299998"/>
    <n v="365.24241422900002"/>
    <n v="365.24218922900002"/>
    <n v="365.24187664700003"/>
    <n v="365.24218914699998"/>
    <n v="365.25969307100002"/>
    <n v="365.25969307100002"/>
    <n v="365.25641588899998"/>
  </r>
  <r>
    <x v="32"/>
    <n v="24.681678000000002"/>
    <n v="1.38984E-2"/>
    <n v="365.24215957000001"/>
    <n v="365.24213172499998"/>
    <n v="365.242458269"/>
    <n v="365.24212629300001"/>
    <n v="365.24192199100003"/>
    <n v="365.25969256500002"/>
    <n v="365.25969257200001"/>
    <n v="365.25646167999997"/>
  </r>
  <r>
    <x v="33"/>
    <n v="24.468482000000002"/>
    <n v="1.5388290000000001E-2"/>
    <n v="365.24216522299997"/>
    <n v="365.24187232600002"/>
    <n v="365.24218922900002"/>
    <n v="365.242410108"/>
    <n v="365.24218922900002"/>
    <n v="365.25969175199998"/>
    <n v="365.25969176000001"/>
    <n v="365.25640899699999"/>
  </r>
  <r>
    <x v="34"/>
    <n v="23.940646000000001"/>
    <n v="1.6743600000000001E-2"/>
    <n v="365.24218090599999"/>
    <n v="365.24217328399999"/>
    <n v="365.24191977100003"/>
    <n v="365.24217444700002"/>
    <n v="365.24245612300001"/>
    <n v="365.25969245300001"/>
    <n v="365.259692438"/>
    <n v="365.25635853400001"/>
  </r>
  <r>
    <x v="35"/>
    <n v="23.367604"/>
    <n v="1.5385609999999999E-2"/>
    <n v="365.24219768099999"/>
    <n v="365.242475055"/>
    <n v="365.242188215"/>
    <n v="365.24193931399998"/>
    <n v="365.24218814099999"/>
    <n v="365.25969220000002"/>
    <n v="365.25969221399998"/>
    <n v="365.25640974200002"/>
  </r>
  <r>
    <x v="36"/>
    <n v="23.022599"/>
    <n v="1.38984E-2"/>
    <n v="365.24220662900001"/>
    <n v="365.24222534099999"/>
    <n v="365.242457382"/>
    <n v="365.24222271100001"/>
    <n v="365.24192108199998"/>
    <n v="365.259692304"/>
    <n v="365.259692304"/>
    <n v="365.25646148599998"/>
  </r>
  <r>
    <x v="37"/>
    <n v="23.027998"/>
    <n v="1.53881E-2"/>
    <n v="365.24220369"/>
    <n v="365.24195012500002"/>
    <n v="365.24218951900002"/>
    <n v="365.24248553799998"/>
    <n v="365.24218957900001"/>
    <n v="365.25969260199997"/>
    <n v="365.25969260199997"/>
    <n v="365.25641304999999"/>
  </r>
  <r>
    <x v="38"/>
    <n v="23.290483999999999"/>
    <n v="1.6743600000000001E-2"/>
    <n v="365.24219164300001"/>
    <n v="365.24219140399998"/>
    <n v="365.24192117199999"/>
    <n v="365.24219651499999"/>
    <n v="365.242457479"/>
    <n v="365.25969217699998"/>
    <n v="365.25969216999999"/>
    <n v="365.25636390599999"/>
  </r>
  <r>
    <x v="39"/>
    <n v="23.563476999999999"/>
    <n v="1.53858E-2"/>
    <n v="365.24217865399999"/>
    <n v="365.24243637900003"/>
    <n v="365.24218941499998"/>
    <n v="365.24189944599999"/>
    <n v="365.24218937799998"/>
    <n v="365.25969245300001"/>
    <n v="365.259692438"/>
    <n v="365.256413549"/>
  </r>
  <r>
    <x v="40"/>
    <n v="23.599568000000001"/>
    <n v="1.38984E-2"/>
    <n v="365.24217350499998"/>
    <n v="365.242159426"/>
    <n v="365.24245740499998"/>
    <n v="365.24215608499998"/>
    <n v="365.24192110400003"/>
    <n v="365.25969231900001"/>
    <n v="365.25969232199998"/>
    <n v="365.25646218999998"/>
  </r>
  <r>
    <x v="41"/>
    <n v="23.302976000000001"/>
    <n v="1.5387909999999999E-2"/>
    <n v="365.242180211"/>
    <n v="365.24190348799999"/>
    <n v="365.24218851000001"/>
    <n v="365.242440321"/>
    <n v="365.24218852400003"/>
    <n v="365.259692315"/>
    <n v="365.25969231099998"/>
    <n v="365.256410383"/>
  </r>
  <r>
    <x v="42"/>
    <n v="22.792081"/>
    <n v="1.6743600000000001E-2"/>
    <n v="365.242195374"/>
    <n v="365.242201325"/>
    <n v="365.24192026600002"/>
    <n v="365.24220330600002"/>
    <n v="365.24245660000003"/>
    <n v="365.25969241199999"/>
    <n v="365.25969240799998"/>
    <n v="365.25635918199998"/>
  </r>
  <r>
    <x v="43"/>
    <n v="22.334848000000001"/>
    <n v="1.5386E-2"/>
    <n v="365.242210446"/>
    <n v="365.242498856"/>
    <n v="365.24218955999999"/>
    <n v="365.24196386300002"/>
    <n v="365.24218950400001"/>
    <n v="365.25969173800001"/>
    <n v="365.259691734"/>
    <n v="365.25641000600001"/>
  </r>
  <r>
    <x v="44"/>
    <n v="22.194558000000001"/>
    <n v="1.38984E-2"/>
    <n v="365.24221685200001"/>
    <n v="365.24224654199998"/>
    <n v="365.24245819100003"/>
    <n v="365.24224076399997"/>
    <n v="365.24192190899998"/>
    <n v="365.259692583"/>
    <n v="365.25969257999998"/>
    <n v="365.25646328200003"/>
  </r>
  <r>
    <x v="45"/>
    <n v="22.475981000000001"/>
    <n v="1.5387720000000001E-2"/>
    <n v="365.242210704"/>
    <n v="365.24196517799999"/>
    <n v="365.24218880400002"/>
    <n v="365.24250007400002"/>
    <n v="365.24218875899999"/>
    <n v="365.25969300000003"/>
    <n v="365.25969298199999"/>
    <n v="365.256417844"/>
  </r>
  <r>
    <x v="46"/>
    <n v="23.062055999999998"/>
    <n v="1.6743600000000001E-2"/>
    <n v="365.242194944"/>
    <n v="365.24219756899998"/>
    <n v="365.24191930500001"/>
    <n v="365.24220722899997"/>
    <n v="365.24245567200001"/>
    <n v="365.259691954"/>
    <n v="365.25969195699997"/>
    <n v="365.256371129"/>
  </r>
  <r>
    <x v="47"/>
    <n v="23.678353000000001"/>
    <n v="1.5386189999999999E-2"/>
    <n v="365.242177809"/>
    <n v="365.24243606300001"/>
    <n v="365.24218802500002"/>
    <n v="365.24189919600002"/>
    <n v="365.24218795100001"/>
    <n v="365.259692449"/>
    <n v="365.25969244200002"/>
    <n v="365.25642080599999"/>
  </r>
  <r>
    <x v="48"/>
    <n v="24.047885000000001"/>
    <n v="1.38984E-2"/>
    <n v="365.24216847399998"/>
    <n v="365.24215156600002"/>
    <n v="365.242457468"/>
    <n v="365.24214369800001"/>
    <n v="365.24192116400002"/>
    <n v="365.25969248299998"/>
    <n v="365.25969247900002"/>
    <n v="365.25646773"/>
  </r>
  <r>
    <x v="49"/>
    <n v="24.046126999999998"/>
    <n v="1.538753E-2"/>
    <n v="365.24217152900002"/>
    <n v="365.24188472100002"/>
    <n v="365.242189618"/>
    <n v="365.242422089"/>
    <n v="365.24218968899999"/>
    <n v="365.25969197400002"/>
    <n v="365.25969197000001"/>
    <n v="365.25641445600002"/>
  </r>
  <r>
    <x v="50"/>
    <n v="23.766038999999999"/>
    <n v="1.6743600000000001E-2"/>
    <n v="365.24218402399998"/>
    <n v="365.24217641000001"/>
    <n v="365.24192111799999"/>
    <n v="365.24218114799999"/>
    <n v="365.24245741999999"/>
    <n v="365.259692417"/>
    <n v="365.25969241600001"/>
    <n v="365.25636297800003"/>
  </r>
  <r>
    <x v="51"/>
    <n v="23.455698000000002"/>
    <n v="1.538638E-2"/>
    <n v="365.24219747900003"/>
    <n v="365.24247355799997"/>
    <n v="365.24218931000001"/>
    <n v="365.24193779799998"/>
    <n v="365.24218925100001"/>
    <n v="365.25969235600002"/>
    <n v="365.25969236200001"/>
    <n v="365.25641380799999"/>
  </r>
  <r>
    <x v="52"/>
    <n v="23.365746000000001"/>
    <n v="1.38984E-2"/>
    <n v="365.24220319300002"/>
    <n v="365.24222012199999"/>
    <n v="365.24245745500002"/>
    <n v="365.24221404500003"/>
    <n v="365.24192114900001"/>
    <n v="365.259692395"/>
    <n v="365.25969239699998"/>
    <n v="365.25646571999999"/>
  </r>
  <r>
    <x v="53"/>
    <n v="23.596648999999999"/>
    <n v="1.5387339999999999E-2"/>
    <n v="365.24219722599997"/>
    <n v="365.241937721"/>
    <n v="365.24218883999998"/>
    <n v="365.24247347400001"/>
    <n v="365.24218886800003"/>
    <n v="365.25969214399998"/>
    <n v="365.25969214700001"/>
    <n v="365.25641688899998"/>
  </r>
  <r>
    <x v="54"/>
    <n v="24.035729"/>
    <n v="1.6743600000000001E-2"/>
    <n v="365.24218256900002"/>
    <n v="365.24217259900001"/>
    <n v="365.24192069200001"/>
    <n v="365.24217997699998"/>
    <n v="365.24245700799997"/>
    <n v="365.25969203199998"/>
    <n v="365.25969203800003"/>
    <n v="365.25636593799999"/>
  </r>
  <r>
    <x v="55"/>
    <n v="24.421223999999999"/>
    <n v="1.538657E-2"/>
    <n v="365.24216767199999"/>
    <n v="365.24241445400003"/>
    <n v="365.24218970700002"/>
    <n v="365.24187684899999"/>
    <n v="365.24218968000002"/>
    <n v="365.25969301100002"/>
    <n v="365.259693013"/>
    <n v="365.25641314000001"/>
  </r>
  <r>
    <x v="56"/>
    <n v="24.496010999999999"/>
    <n v="1.38984E-2"/>
    <n v="365.24216170800003"/>
    <n v="365.24213536600001"/>
    <n v="365.242457962"/>
    <n v="365.24213183299997"/>
    <n v="365.24192167199999"/>
    <n v="365.259692454"/>
    <n v="365.25969245599998"/>
    <n v="365.25646032600002"/>
  </r>
  <r>
    <x v="57"/>
    <n v="24.160917999999999"/>
    <n v="1.5387140000000001E-2"/>
    <n v="365.24216890000002"/>
    <n v="365.24188067"/>
    <n v="365.24218838600001"/>
    <n v="365.242418198"/>
    <n v="365.24218834700002"/>
    <n v="365.25969190500001"/>
    <n v="365.25969191199999"/>
    <n v="365.25640862500001"/>
  </r>
  <r>
    <x v="58"/>
    <n v="23.537579000000001"/>
    <n v="1.6743600000000001E-2"/>
    <n v="365.24218567100002"/>
    <n v="365.24218409899999"/>
    <n v="365.24191904100002"/>
    <n v="365.24218413199998"/>
    <n v="365.24245541200003"/>
    <n v="365.25969249600001"/>
    <n v="365.25969249899998"/>
    <n v="365.25635821499998"/>
  </r>
  <r>
    <x v="59"/>
    <n v="22.903604999999999"/>
    <n v="1.538671E-2"/>
    <n v="365.24220308500003"/>
    <n v="365.242485827"/>
    <n v="365.24218809799999"/>
    <n v="365.241950411"/>
    <n v="365.242188005"/>
    <n v="365.25969200399999"/>
    <n v="365.25969200399999"/>
    <n v="365.25640891500001"/>
  </r>
  <r>
    <x v="60"/>
    <n v="22.537552000000002"/>
    <n v="1.38984E-2"/>
    <n v="365.24221229099999"/>
    <n v="365.24223631400002"/>
    <n v="365.24245768899999"/>
    <n v="365.24223377099997"/>
    <n v="365.24192139100001"/>
    <n v="365.25969239"/>
    <n v="365.25969238300002"/>
    <n v="365.25646048099998"/>
  </r>
  <r>
    <x v="61"/>
    <n v="22.563690000000001"/>
    <n v="1.5387100000000001E-2"/>
    <n v="365.24220923899998"/>
    <n v="365.24196120400001"/>
    <n v="365.24218970599998"/>
    <n v="365.24249627099999"/>
    <n v="365.24218977499999"/>
    <n v="365.25969290199998"/>
    <n v="365.25969289900002"/>
    <n v="365.25641270099999"/>
  </r>
  <r>
    <x v="62"/>
    <n v="22.886987999999999"/>
    <n v="1.6743600000000001E-2"/>
    <n v="365.24219670000002"/>
    <n v="365.24220124800001"/>
    <n v="365.24192097000002"/>
    <n v="365.242207302"/>
    <n v="365.24245727800002"/>
    <n v="365.25969208599997"/>
    <n v="365.25969208800001"/>
    <n v="365.25636479399998"/>
  </r>
  <r>
    <x v="63"/>
    <n v="23.255648999999998"/>
    <n v="1.538671E-2"/>
    <n v="365.24218277199998"/>
    <n v="365.242444783"/>
    <n v="365.24218912600003"/>
    <n v="365.24190811599999"/>
    <n v="365.24218906300001"/>
    <n v="365.259692196"/>
    <n v="365.25969219799998"/>
    <n v="365.25641541200002"/>
  </r>
  <r>
    <x v="64"/>
    <n v="23.413979999999999"/>
    <n v="1.38984E-2"/>
    <n v="365.242176245"/>
    <n v="365.24216571300002"/>
    <n v="365.242457479"/>
    <n v="365.242160609"/>
    <n v="365.24192117699999"/>
    <n v="365.25969236700001"/>
    <n v="365.25969237100003"/>
    <n v="365.25646432500002"/>
  </r>
</pivotCacheRecords>
</file>

<file path=xl/pivotCache/pivotCacheRecords2.xml><?xml version="1.0" encoding="utf-8"?>
<pivotCacheRecords xmlns="http://schemas.openxmlformats.org/spreadsheetml/2006/main" xmlns:r="http://schemas.openxmlformats.org/officeDocument/2006/relationships" count="65">
  <r>
    <x v="0"/>
    <n v="23.413979999999999"/>
    <n v="1.38984E-2"/>
    <n v="365.24217624200003"/>
    <n v="365.242165715"/>
    <n v="365.24245746399998"/>
    <n v="365.24216061800001"/>
    <n v="365.24192117199999"/>
    <n v="365.25969237100003"/>
    <n v="365.25969235600002"/>
    <n v="365.25646433200001"/>
    <n v="25563.701259757101"/>
  </r>
  <r>
    <x v="1"/>
    <n v="23.255234000000002"/>
    <n v="1.538982E-2"/>
    <n v="365.24218128199999"/>
    <n v="365.24190503400001"/>
    <n v="365.24218912399999"/>
    <n v="365.24244183299999"/>
    <n v="365.242189139"/>
    <n v="365.259692401"/>
    <n v="365.259692401"/>
    <n v="365.25641253600003"/>
    <n v="25665.792525032313"/>
  </r>
  <r>
    <x v="2"/>
    <n v="22.886448000000001"/>
    <n v="1.6743600000000001E-2"/>
    <n v="365.24219472300001"/>
    <n v="365.242198363"/>
    <n v="365.241920978"/>
    <n v="365.24220228199999"/>
    <n v="365.24245727099998"/>
    <n v="365.259692401"/>
    <n v="365.259692401"/>
    <n v="365.25636166300001"/>
    <n v="25782.304552932073"/>
  </r>
  <r>
    <x v="3"/>
    <n v="22.563410000000001"/>
    <n v="1.538408E-2"/>
    <n v="365.24220817899999"/>
    <n v="365.24249422600002"/>
    <n v="365.24218967600001"/>
    <n v="365.24195909500003"/>
    <n v="365.24218972"/>
    <n v="365.25969186399999"/>
    <n v="365.25969183400002"/>
    <n v="365.25641314699999"/>
    <n v="25713.286587267547"/>
  </r>
  <r>
    <x v="4"/>
    <n v="22.537782"/>
    <n v="1.38984E-2"/>
    <n v="365.24221314099998"/>
    <n v="365.24224035399999"/>
    <n v="365.24245770300001"/>
    <n v="365.24223312700002"/>
    <n v="365.24192138000001"/>
    <n v="365.259692535"/>
    <n v="365.25969250499998"/>
    <n v="365.25646679099998"/>
    <n v="25625.469040630687"/>
  </r>
  <r>
    <x v="5"/>
    <n v="22.904309000000001"/>
    <n v="1.538963E-2"/>
    <n v="365.24220579899998"/>
    <n v="365.24195590599999"/>
    <n v="365.24218812599997"/>
    <n v="365.24249109599998"/>
    <n v="365.24218806599998"/>
    <n v="365.25969263899998"/>
    <n v="365.259692669"/>
    <n v="365.256420687"/>
    <n v="25695.342846621301"/>
  </r>
  <r>
    <x v="6"/>
    <n v="23.538454000000002"/>
    <n v="1.6743600000000001E-2"/>
    <n v="365.24218913499999"/>
    <n v="365.24218593500001"/>
    <n v="365.24191902600001"/>
    <n v="365.24219617199998"/>
    <n v="365.24245540800001"/>
    <n v="365.25969196900002"/>
    <n v="365.25969196900002"/>
    <n v="365.25637213900001"/>
    <n v="25753.103654102855"/>
  </r>
  <r>
    <x v="7"/>
    <n v="24.161581000000002"/>
    <n v="1.538427E-2"/>
    <n v="365.24217154799999"/>
    <n v="365.24242341500002"/>
    <n v="365.242188349"/>
    <n v="365.24188615399999"/>
    <n v="365.24218827499999"/>
    <n v="365.25969284799999"/>
    <n v="365.25969284799999"/>
    <n v="365.25641961399998"/>
    <n v="25635.508679856765"/>
  </r>
  <r>
    <x v="8"/>
    <n v="24.496179999999999"/>
    <n v="1.38984E-2"/>
    <n v="365.24216239200001"/>
    <n v="365.24213859399998"/>
    <n v="365.24245795600001"/>
    <n v="365.24213136700001"/>
    <n v="365.24192164800002"/>
    <n v="365.25969256500002"/>
    <n v="365.25969256500002"/>
    <n v="365.25646515199998"/>
    <n v="25537.481238090866"/>
  </r>
  <r>
    <x v="9"/>
    <n v="24.420884000000001"/>
    <n v="1.5389440000000001E-2"/>
    <n v="365.24216632899999"/>
    <n v="365.241874069"/>
    <n v="365.24218970499999"/>
    <n v="365.24241179199998"/>
    <n v="365.24218975000002"/>
    <n v="365.25969176000001"/>
    <n v="365.25969177500002"/>
    <n v="365.25641153800001"/>
    <n v="25640.649536093242"/>
  </r>
  <r>
    <x v="10"/>
    <n v="24.035136000000001"/>
    <n v="1.6743600000000001E-2"/>
    <n v="365.24218020199999"/>
    <n v="365.24216999100003"/>
    <n v="365.24192069499998"/>
    <n v="365.24217310500001"/>
    <n v="365.24245701699999"/>
    <n v="365.259692401"/>
    <n v="365.259692401"/>
    <n v="365.25636027799999"/>
    <n v="25758.420496331535"/>
  </r>
  <r>
    <x v="11"/>
    <n v="23.596174000000001"/>
    <n v="1.5384470000000001E-2"/>
    <n v="365.24219532699999"/>
    <n v="365.24246978799999"/>
    <n v="365.24218884099997"/>
    <n v="365.24193388200001"/>
    <n v="365.24218879599999"/>
    <n v="365.25969238599998"/>
    <n v="365.25969238599998"/>
    <n v="365.25641129899998"/>
    <n v="25693.38285833038"/>
  </r>
  <r>
    <x v="12"/>
    <n v="23.365655"/>
    <n v="1.38984E-2"/>
    <n v="365.24220282200002"/>
    <n v="365.24221840500002"/>
    <n v="365.24245743500001"/>
    <n v="365.242214322"/>
    <n v="365.24192112700001"/>
    <n v="365.259692341"/>
    <n v="365.25969235600002"/>
    <n v="365.25646312499998"/>
    <n v="25613.513480469712"/>
  </r>
  <r>
    <x v="13"/>
    <n v="23.455998000000001"/>
    <n v="1.538925E-2"/>
    <n v="365.242198691"/>
    <n v="365.24194019999999"/>
    <n v="365.24218931799999"/>
    <n v="365.24247589700002"/>
    <n v="365.24218934800001"/>
    <n v="365.25969231099998"/>
    <n v="365.25969231099998"/>
    <n v="365.256414339"/>
    <n v="25693.96867022158"/>
  </r>
  <r>
    <x v="14"/>
    <n v="23.766480000000001"/>
    <n v="1.6743600000000001E-2"/>
    <n v="365.242185775"/>
    <n v="365.24217945300001"/>
    <n v="365.24192112700001"/>
    <n v="365.24218511599997"/>
    <n v="365.24245740499998"/>
    <n v="365.25969214700001"/>
    <n v="365.25969214700001"/>
    <n v="365.256364152"/>
    <n v="25761.507410319802"/>
  </r>
  <r>
    <x v="15"/>
    <n v="24.04635"/>
    <n v="1.538466E-2"/>
    <n v="365.24217239799998"/>
    <n v="365.24242383199999"/>
    <n v="365.24218961600002"/>
    <n v="365.24188652599997"/>
    <n v="365.24218961600002"/>
    <n v="365.25969274300002"/>
    <n v="365.25969277299998"/>
    <n v="365.25641271500001"/>
    <n v="25649.457994103122"/>
  </r>
  <r>
    <x v="16"/>
    <n v="24.047644999999999"/>
    <n v="1.38984E-2"/>
    <n v="365.24216750599999"/>
    <n v="365.24214702799998"/>
    <n v="365.24245749400001"/>
    <n v="365.24214433100002"/>
    <n v="365.24192117199999"/>
    <n v="365.259692341"/>
    <n v="365.259692341"/>
    <n v="365.25646093500001"/>
    <n v="25554.152256571393"/>
  </r>
  <r>
    <x v="17"/>
    <n v="23.677671"/>
    <n v="1.538906E-2"/>
    <n v="365.24217512500002"/>
    <n v="365.24189363400001"/>
    <n v="365.24218806599998"/>
    <n v="365.24243076099998"/>
    <n v="365.24218803600002"/>
    <n v="365.25969210300002"/>
    <n v="365.25969210300002"/>
    <n v="365.25640930200001"/>
    <n v="25660.5218062284"/>
  </r>
  <r>
    <x v="18"/>
    <n v="23.061216999999999"/>
    <n v="1.6743600000000001E-2"/>
    <n v="365.24219165699998"/>
    <n v="365.24219562100001"/>
    <n v="365.24191930900002"/>
    <n v="365.24219602300002"/>
    <n v="365.24245567600002"/>
    <n v="365.25969247500001"/>
    <n v="365.25969247500001"/>
    <n v="365.25635826600001"/>
    <n v="25782.906711497752"/>
  </r>
  <r>
    <x v="19"/>
    <n v="22.475376000000001"/>
    <n v="1.538485E-2"/>
    <n v="365.24220835400001"/>
    <n v="365.24249552200001"/>
    <n v="365.24218879599999"/>
    <n v="365.24196039100002"/>
    <n v="365.24218870700003"/>
    <n v="365.25969182"/>
    <n v="365.25969182"/>
    <n v="365.25640855699999"/>
    <n v="25721.914578100987"/>
  </r>
  <r>
    <x v="20"/>
    <n v="22.194467"/>
    <n v="1.38984E-2"/>
    <n v="365.24221648999998"/>
    <n v="365.24224486899999"/>
    <n v="365.24245816500002"/>
    <n v="365.242241025"/>
    <n v="365.241921902"/>
    <n v="365.259692535"/>
    <n v="365.25969251999999"/>
    <n v="365.25646068200001"/>
    <n v="25642.483664998286"/>
  </r>
  <r>
    <x v="21"/>
    <n v="22.335277000000001"/>
    <n v="1.5388860000000001E-2"/>
    <n v="365.24221212399999"/>
    <n v="365.241967246"/>
    <n v="365.24218954100002"/>
    <n v="365.242502108"/>
    <n v="365.24218960100001"/>
    <n v="365.25969307100002"/>
    <n v="365.25969308600003"/>
    <n v="365.25641422000001"/>
    <n v="25718.486498013925"/>
  </r>
  <r>
    <x v="22"/>
    <n v="22.792767999999999"/>
    <n v="1.6743600000000001E-2"/>
    <n v="365.24219806100001"/>
    <n v="365.24220371199999"/>
    <n v="365.24192028499999"/>
    <n v="365.24221163999999"/>
    <n v="365.242456608"/>
    <n v="365.259691976"/>
    <n v="365.25969198299998"/>
    <n v="365.25636757900003"/>
    <n v="25777.614141748672"/>
  </r>
  <r>
    <x v="23"/>
    <n v="23.303540999999999"/>
    <n v="1.5385039999999999E-2"/>
    <n v="365.24218243000001"/>
    <n v="365.24244469400003"/>
    <n v="365.24218851299997"/>
    <n v="365.24190806600001"/>
    <n v="365.242188446"/>
    <n v="365.25969216999999"/>
    <n v="365.25969216999999"/>
    <n v="365.25641851900002"/>
    <n v="25657.076077481805"/>
  </r>
  <r>
    <x v="24"/>
    <n v="23.599737000000001"/>
    <n v="1.38984E-2"/>
    <n v="365.24217417800003"/>
    <n v="365.242162608"/>
    <n v="365.242457382"/>
    <n v="365.24215564100001"/>
    <n v="365.24192108199998"/>
    <n v="365.25969242299999"/>
    <n v="365.25969242299999"/>
    <n v="365.256467015"/>
    <n v="25555.211118390609"/>
  </r>
  <r>
    <x v="25"/>
    <n v="23.563236"/>
    <n v="1.538867E-2"/>
    <n v="365.24217772700001"/>
    <n v="365.24189751599999"/>
    <n v="365.24218940700001"/>
    <n v="365.24243450900002"/>
    <n v="365.24218947399999"/>
    <n v="365.25969225199998"/>
    <n v="365.25969225199998"/>
    <n v="365.25641477099998"/>
    <n v="25655.354775315889"/>
  </r>
  <r>
    <x v="26"/>
    <n v="23.29008"/>
    <n v="1.6743600000000001E-2"/>
    <n v="365.24219005200001"/>
    <n v="365.24218826700002"/>
    <n v="365.24192117199999"/>
    <n v="365.24219330400001"/>
    <n v="365.24245746399998"/>
    <n v="365.25969242999997"/>
    <n v="365.25969242299999"/>
    <n v="365.25636376400001"/>
    <n v="25769.986279103061"/>
  </r>
  <r>
    <x v="27"/>
    <n v="23.027785000000002"/>
    <n v="1.538523E-2"/>
    <n v="365.24220282599998"/>
    <n v="365.24248387699998"/>
    <n v="365.24218951199998"/>
    <n v="365.24194842600002"/>
    <n v="365.242189489"/>
    <n v="365.25969211799998"/>
    <n v="365.25969211799998"/>
    <n v="365.25641503899999"/>
    <n v="25700.178785584387"/>
  </r>
  <r>
    <x v="28"/>
    <n v="23.022819999999999"/>
    <n v="1.38984E-2"/>
    <n v="365.242207495"/>
    <n v="365.24222942400002"/>
    <n v="365.24245740499998"/>
    <n v="365.242222056"/>
    <n v="365.24192109699999"/>
    <n v="365.259692438"/>
    <n v="365.25969244499998"/>
    <n v="365.25646777499998"/>
    <n v="25613.555117829132"/>
  </r>
  <r>
    <x v="29"/>
    <n v="23.368241000000001"/>
    <n v="1.538848E-2"/>
    <n v="365.24220019799998"/>
    <n v="365.24194443200003"/>
    <n v="365.242188193"/>
    <n v="365.24247996499997"/>
    <n v="365.24218819999999"/>
    <n v="365.25969226699999"/>
    <n v="365.25969225900002"/>
    <n v="365.256419994"/>
    <n v="25686.473982712407"/>
  </r>
  <r>
    <x v="30"/>
    <n v="23.941417999999999"/>
    <n v="1.6743600000000001E-2"/>
    <n v="365.24218397800001"/>
    <n v="365.24217536999998"/>
    <n v="365.24191975600002"/>
    <n v="365.24218467600002"/>
    <n v="365.242456108"/>
    <n v="365.25969196900002"/>
    <n v="365.25969196099999"/>
    <n v="365.25636945700001"/>
    <n v="25748.610213107972"/>
  </r>
  <r>
    <x v="31"/>
    <n v="24.469004000000002"/>
    <n v="1.538542E-2"/>
    <n v="365.24216731299998"/>
    <n v="365.24241422900002"/>
    <n v="365.24218922900002"/>
    <n v="365.24187664700003"/>
    <n v="365.24218914699998"/>
    <n v="365.25969307100002"/>
    <n v="365.25969307100002"/>
    <n v="365.25641588899998"/>
    <n v="25634.590845358936"/>
  </r>
  <r>
    <x v="32"/>
    <n v="24.681678000000002"/>
    <n v="1.38984E-2"/>
    <n v="365.24215957000001"/>
    <n v="365.24213172499998"/>
    <n v="365.242458269"/>
    <n v="365.24212629300001"/>
    <n v="365.24192199100003"/>
    <n v="365.25969256500002"/>
    <n v="365.25969257200001"/>
    <n v="365.25646167999997"/>
    <n v="25538.641618685622"/>
  </r>
  <r>
    <x v="33"/>
    <n v="24.468482000000002"/>
    <n v="1.5388290000000001E-2"/>
    <n v="365.24216522299997"/>
    <n v="365.24187232600002"/>
    <n v="365.24218922900002"/>
    <n v="365.242410108"/>
    <n v="365.24218922900002"/>
    <n v="365.25969175199998"/>
    <n v="365.25969176000001"/>
    <n v="365.25640899699999"/>
    <n v="25643.232544720206"/>
  </r>
  <r>
    <x v="34"/>
    <n v="23.940646000000001"/>
    <n v="1.6743600000000001E-2"/>
    <n v="365.24218090599999"/>
    <n v="365.24217328399999"/>
    <n v="365.24191977100003"/>
    <n v="365.24217444700002"/>
    <n v="365.24245612300001"/>
    <n v="365.25969245300001"/>
    <n v="365.259692438"/>
    <n v="365.25635853400001"/>
    <n v="25762.867987035581"/>
  </r>
  <r>
    <x v="35"/>
    <n v="23.367604"/>
    <n v="1.5385609999999999E-2"/>
    <n v="365.24219768099999"/>
    <n v="365.242475055"/>
    <n v="365.242188215"/>
    <n v="365.24193931399998"/>
    <n v="365.24218814099999"/>
    <n v="365.25969220000002"/>
    <n v="365.25969221399998"/>
    <n v="365.25640974200002"/>
    <n v="25700.453279886671"/>
  </r>
  <r>
    <x v="36"/>
    <n v="23.022599"/>
    <n v="1.38984E-2"/>
    <n v="365.24220662900001"/>
    <n v="365.24222534099999"/>
    <n v="365.242457382"/>
    <n v="365.24222271100001"/>
    <n v="365.24192108199998"/>
    <n v="365.259692304"/>
    <n v="365.259692304"/>
    <n v="365.25646148599998"/>
    <n v="25623.298885902175"/>
  </r>
  <r>
    <x v="37"/>
    <n v="23.027998"/>
    <n v="1.53881E-2"/>
    <n v="365.24220369"/>
    <n v="365.24195012500002"/>
    <n v="365.24218951900002"/>
    <n v="365.24248553799998"/>
    <n v="365.24218957900001"/>
    <n v="365.25969260199997"/>
    <n v="365.25969260199997"/>
    <n v="365.25641304999999"/>
    <n v="25705.338808371467"/>
  </r>
  <r>
    <x v="38"/>
    <n v="23.290483999999999"/>
    <n v="1.6743600000000001E-2"/>
    <n v="365.24219164300001"/>
    <n v="365.24219140399998"/>
    <n v="365.24192117199999"/>
    <n v="365.24219651499999"/>
    <n v="365.242457479"/>
    <n v="365.25969217699998"/>
    <n v="365.25969216999999"/>
    <n v="365.25636390599999"/>
    <n v="25772.621063169379"/>
  </r>
  <r>
    <x v="39"/>
    <n v="23.563476999999999"/>
    <n v="1.53858E-2"/>
    <n v="365.24217865399999"/>
    <n v="365.24243637900003"/>
    <n v="365.24218941499998"/>
    <n v="365.24189944599999"/>
    <n v="365.24218937799998"/>
    <n v="365.25969245300001"/>
    <n v="365.259692438"/>
    <n v="365.256413549"/>
    <n v="25659.227802425095"/>
  </r>
  <r>
    <x v="40"/>
    <n v="23.599568000000001"/>
    <n v="1.38984E-2"/>
    <n v="365.24217350499998"/>
    <n v="365.242159426"/>
    <n v="365.24245740499998"/>
    <n v="365.24215608499998"/>
    <n v="365.24192110400003"/>
    <n v="365.25969231900001"/>
    <n v="365.25969232199998"/>
    <n v="365.25646218999998"/>
    <n v="25562.636603024119"/>
  </r>
  <r>
    <x v="41"/>
    <n v="23.302976000000001"/>
    <n v="1.5387909999999999E-2"/>
    <n v="365.242180211"/>
    <n v="365.24190348799999"/>
    <n v="365.24218851000001"/>
    <n v="365.242440321"/>
    <n v="365.24218852400003"/>
    <n v="365.259692315"/>
    <n v="365.25969231099998"/>
    <n v="365.256410383"/>
    <n v="25667.743888342135"/>
  </r>
  <r>
    <x v="42"/>
    <n v="22.792081"/>
    <n v="1.6743600000000001E-2"/>
    <n v="365.242195374"/>
    <n v="365.242201325"/>
    <n v="365.24192026600002"/>
    <n v="365.24220330600002"/>
    <n v="365.24245660000003"/>
    <n v="365.25969241199999"/>
    <n v="365.25969240799998"/>
    <n v="365.25635918199998"/>
    <n v="25788.005540781709"/>
  </r>
  <r>
    <x v="43"/>
    <n v="22.334848000000001"/>
    <n v="1.5386E-2"/>
    <n v="365.242210446"/>
    <n v="365.242498856"/>
    <n v="365.24218955999999"/>
    <n v="365.24196386300002"/>
    <n v="365.24218950400001"/>
    <n v="365.25969173800001"/>
    <n v="365.259691734"/>
    <n v="365.25641000600001"/>
    <n v="25723.079447939039"/>
  </r>
  <r>
    <x v="44"/>
    <n v="22.194558000000001"/>
    <n v="1.38984E-2"/>
    <n v="365.24221685200001"/>
    <n v="365.24224654199998"/>
    <n v="365.24245819100003"/>
    <n v="365.24224076399997"/>
    <n v="365.24192190899998"/>
    <n v="365.259692583"/>
    <n v="365.25969257999998"/>
    <n v="365.25646328200003"/>
    <n v="25638.455618820633"/>
  </r>
  <r>
    <x v="45"/>
    <n v="22.475981000000001"/>
    <n v="1.5387720000000001E-2"/>
    <n v="365.242210704"/>
    <n v="365.24196517799999"/>
    <n v="365.24218880400002"/>
    <n v="365.24250007400002"/>
    <n v="365.24218875899999"/>
    <n v="365.25969300000003"/>
    <n v="365.25969298199999"/>
    <n v="365.256417844"/>
    <n v="25709.355848122425"/>
  </r>
  <r>
    <x v="46"/>
    <n v="23.062055999999998"/>
    <n v="1.6743600000000001E-2"/>
    <n v="365.242194944"/>
    <n v="365.24219756899998"/>
    <n v="365.24191930500001"/>
    <n v="365.24220722899997"/>
    <n v="365.24245567200001"/>
    <n v="365.259691954"/>
    <n v="365.25969195699997"/>
    <n v="365.256371129"/>
    <n v="25765.491289023601"/>
  </r>
  <r>
    <x v="47"/>
    <n v="23.678353000000001"/>
    <n v="1.5386189999999999E-2"/>
    <n v="365.242177809"/>
    <n v="365.24243606300001"/>
    <n v="365.24218802500002"/>
    <n v="365.24189919600002"/>
    <n v="365.24218795100001"/>
    <n v="365.259692449"/>
    <n v="365.25969244200002"/>
    <n v="365.25642080599999"/>
    <n v="25644.632292352933"/>
  </r>
  <r>
    <x v="48"/>
    <n v="24.047885000000001"/>
    <n v="1.38984E-2"/>
    <n v="365.24216847399998"/>
    <n v="365.24215156600002"/>
    <n v="365.242457468"/>
    <n v="365.24214369800001"/>
    <n v="365.24192116400002"/>
    <n v="365.25969248299998"/>
    <n v="365.25969247900002"/>
    <n v="365.25646773"/>
    <n v="25543.739319696808"/>
  </r>
  <r>
    <x v="49"/>
    <n v="24.046126999999998"/>
    <n v="1.538753E-2"/>
    <n v="365.24217152900002"/>
    <n v="365.24188472100002"/>
    <n v="365.242189618"/>
    <n v="365.242422089"/>
    <n v="365.24218968899999"/>
    <n v="365.25969197400002"/>
    <n v="365.25969197000001"/>
    <n v="365.25641445600002"/>
    <n v="25644.75788270573"/>
  </r>
  <r>
    <x v="50"/>
    <n v="23.766038999999999"/>
    <n v="1.6743600000000001E-2"/>
    <n v="365.24218402399998"/>
    <n v="365.24217641000001"/>
    <n v="365.24192111799999"/>
    <n v="365.24218114799999"/>
    <n v="365.24245741999999"/>
    <n v="365.259692417"/>
    <n v="365.25969241600001"/>
    <n v="365.25636297800003"/>
    <n v="25760.458985680652"/>
  </r>
  <r>
    <x v="51"/>
    <n v="23.455698000000002"/>
    <n v="1.538638E-2"/>
    <n v="365.24219747900003"/>
    <n v="365.24247355799997"/>
    <n v="365.24218931000001"/>
    <n v="365.24193779799998"/>
    <n v="365.24218925100001"/>
    <n v="365.25969235600002"/>
    <n v="365.25969236200001"/>
    <n v="365.25641380799999"/>
    <n v="25692.73782345041"/>
  </r>
  <r>
    <x v="52"/>
    <n v="23.365746000000001"/>
    <n v="1.38984E-2"/>
    <n v="365.24220319300002"/>
    <n v="365.24222012199999"/>
    <n v="365.24245745500002"/>
    <n v="365.24221404500003"/>
    <n v="365.24192114900001"/>
    <n v="365.259692395"/>
    <n v="365.25969239699998"/>
    <n v="365.25646571999999"/>
    <n v="25609.519667919798"/>
  </r>
  <r>
    <x v="53"/>
    <n v="23.596648999999999"/>
    <n v="1.5387339999999999E-2"/>
    <n v="365.24219722599997"/>
    <n v="365.241937721"/>
    <n v="365.24218883999998"/>
    <n v="365.24247347400001"/>
    <n v="365.24218886800003"/>
    <n v="365.25969214399998"/>
    <n v="365.25969214700001"/>
    <n v="365.25641688899998"/>
    <n v="25686.714016278154"/>
  </r>
  <r>
    <x v="54"/>
    <n v="24.035729"/>
    <n v="1.6743600000000001E-2"/>
    <n v="365.24218256900002"/>
    <n v="365.24217259900001"/>
    <n v="365.24192069200001"/>
    <n v="365.24217997699998"/>
    <n v="365.24245700799997"/>
    <n v="365.25969203199998"/>
    <n v="365.25969203800003"/>
    <n v="365.25636593799999"/>
    <n v="25752.44047721539"/>
  </r>
  <r>
    <x v="55"/>
    <n v="24.421223999999999"/>
    <n v="1.538657E-2"/>
    <n v="365.24216767199999"/>
    <n v="365.24241445400003"/>
    <n v="365.24218970700002"/>
    <n v="365.24187684899999"/>
    <n v="365.24218968000002"/>
    <n v="365.25969301100002"/>
    <n v="365.259693013"/>
    <n v="365.25641314000001"/>
    <n v="25640.183470256761"/>
  </r>
  <r>
    <x v="56"/>
    <n v="24.496010999999999"/>
    <n v="1.38984E-2"/>
    <n v="365.24216170800003"/>
    <n v="365.24213536600001"/>
    <n v="365.242457962"/>
    <n v="365.24213183299997"/>
    <n v="365.24192167199999"/>
    <n v="365.259692454"/>
    <n v="365.25969245599998"/>
    <n v="365.25646032600002"/>
    <n v="25544.878555819272"/>
  </r>
  <r>
    <x v="57"/>
    <n v="24.160917999999999"/>
    <n v="1.5387140000000001E-2"/>
    <n v="365.24216890000002"/>
    <n v="365.24188067"/>
    <n v="365.24218838600001"/>
    <n v="365.242418198"/>
    <n v="365.24218834700002"/>
    <n v="365.25969190500001"/>
    <n v="365.25969191199999"/>
    <n v="365.25640862500001"/>
    <n v="25650.524053341545"/>
  </r>
  <r>
    <x v="58"/>
    <n v="23.537579000000001"/>
    <n v="1.6743600000000001E-2"/>
    <n v="365.24218567100002"/>
    <n v="365.24218409899999"/>
    <n v="365.24191904100002"/>
    <n v="365.24218413199998"/>
    <n v="365.24245541200003"/>
    <n v="365.25969249600001"/>
    <n v="365.25969249899998"/>
    <n v="365.25635821499998"/>
    <n v="25772.10966612515"/>
  </r>
  <r>
    <x v="59"/>
    <n v="22.903604999999999"/>
    <n v="1.538671E-2"/>
    <n v="365.24220308500003"/>
    <n v="365.242485827"/>
    <n v="365.24218809799999"/>
    <n v="365.241950411"/>
    <n v="365.242188005"/>
    <n v="365.25969200399999"/>
    <n v="365.25969200399999"/>
    <n v="365.25640891500001"/>
    <n v="25711.726024843738"/>
  </r>
  <r>
    <x v="60"/>
    <n v="22.537552000000002"/>
    <n v="1.38984E-2"/>
    <n v="365.24221229099999"/>
    <n v="365.24223631400002"/>
    <n v="365.24245768899999"/>
    <n v="365.24223377099997"/>
    <n v="365.24192139100001"/>
    <n v="365.25969239"/>
    <n v="365.25969238300002"/>
    <n v="365.25646048099998"/>
    <n v="25635.288445849848"/>
  </r>
  <r>
    <x v="61"/>
    <n v="22.563690000000001"/>
    <n v="1.5387100000000001E-2"/>
    <n v="365.24220923899998"/>
    <n v="365.24196120400001"/>
    <n v="365.24218970599998"/>
    <n v="365.24249627099999"/>
    <n v="365.24218977499999"/>
    <n v="365.25969290199998"/>
    <n v="365.25969289900002"/>
    <n v="365.25641270099999"/>
    <n v="25716.012948159918"/>
  </r>
  <r>
    <x v="62"/>
    <n v="22.886987999999999"/>
    <n v="1.6743600000000001E-2"/>
    <n v="365.24219670000002"/>
    <n v="365.24220124800001"/>
    <n v="365.24192097000002"/>
    <n v="365.242207302"/>
    <n v="365.24245727800002"/>
    <n v="365.25969208599997"/>
    <n v="365.25969208800001"/>
    <n v="365.25636479399998"/>
    <n v="25780.204789376348"/>
  </r>
  <r>
    <x v="63"/>
    <n v="23.255648999999998"/>
    <n v="1.538671E-2"/>
    <n v="365.24218277199998"/>
    <n v="365.242444783"/>
    <n v="365.24218912600003"/>
    <n v="365.24190811599999"/>
    <n v="365.24218906300001"/>
    <n v="365.259692196"/>
    <n v="365.25969219799998"/>
    <n v="365.25641541200002"/>
    <n v="25663.293346197792"/>
  </r>
  <r>
    <x v="64"/>
    <n v="23.413979999999999"/>
    <n v="1.38984E-2"/>
    <n v="365.242176245"/>
    <n v="365.24216571300002"/>
    <n v="365.242457479"/>
    <n v="365.242160609"/>
    <n v="365.24192117699999"/>
    <n v="365.25969236700001"/>
    <n v="365.25969237100003"/>
    <n v="365.25646432500002"/>
    <n v="25563.7191508077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raaitabel4" cacheId="16" applyNumberFormats="0" applyBorderFormats="0" applyFontFormats="0" applyPatternFormats="0" applyAlignmentFormats="0" applyWidthHeightFormats="1" dataCaption="Waarden" updatedVersion="5" minRefreshableVersion="3" useAutoFormatting="1" itemPrintTitles="1" createdVersion="5" indent="0" outline="1" outlineData="1" multipleFieldFilters="0" chartFormat="5">
  <location ref="R1:S67" firstHeaderRow="1" firstDataRow="1" firstDataCol="1"/>
  <pivotFields count="12">
    <pivotField axis="axisRow"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t="grand">
      <x/>
    </i>
  </rowItems>
  <colItems count="1">
    <i/>
  </colItems>
  <dataFields count="1">
    <dataField name="Som van Precession" fld="11"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Draaitabel3" cacheId="13" applyNumberFormats="0" applyBorderFormats="0" applyFontFormats="0" applyPatternFormats="0" applyAlignmentFormats="0" applyWidthHeightFormats="1" dataCaption="Waarden" updatedVersion="5" minRefreshableVersion="3" useAutoFormatting="1" itemPrintTitles="1" createdVersion="5" indent="0" outline="1" outlineData="1" multipleFieldFilters="0" chartFormat="4">
  <location ref="M1:N67" firstHeaderRow="1" firstDataRow="1" firstDataCol="1"/>
  <pivotFields count="11">
    <pivotField axis="axisRow"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pivotField showAll="0"/>
    <pivotField showAll="0"/>
    <pivotField showAll="0"/>
    <pivotField showAll="0"/>
    <pivotField showAll="0"/>
    <pivotField showAll="0"/>
    <pivotField showAll="0"/>
    <pivotField showAll="0"/>
    <pivotField dataField="1" showAll="0"/>
  </pivotFields>
  <rowFields count="1">
    <field x="0"/>
  </rowFields>
  <rowItems count="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t="grand">
      <x/>
    </i>
  </rowItems>
  <colItems count="1">
    <i/>
  </colItems>
  <dataFields count="1">
    <dataField name="Som van Sidereal Interval (days)" fld="10" baseField="0" baseItem="0"/>
  </dataFields>
  <chartFormats count="1">
    <chartFormat chart="0" format="9"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Draaitabel2" cacheId="13" applyNumberFormats="0" applyBorderFormats="0" applyFontFormats="0" applyPatternFormats="0" applyAlignmentFormats="0" applyWidthHeightFormats="1" dataCaption="Waarden" updatedVersion="5" minRefreshableVersion="3" useAutoFormatting="1" itemPrintTitles="1" createdVersion="5" indent="0" outline="1" outlineData="1" multipleFieldFilters="0" chartFormat="4">
  <location ref="H1:I67" firstHeaderRow="1" firstDataRow="1" firstDataCol="1"/>
  <pivotFields count="11">
    <pivotField axis="axisRow"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pivotField showAll="0"/>
    <pivotField dataField="1" showAll="0"/>
    <pivotField showAll="0"/>
    <pivotField showAll="0"/>
    <pivotField showAll="0"/>
    <pivotField showAll="0"/>
    <pivotField showAll="0"/>
    <pivotField showAll="0"/>
    <pivotField showAll="0"/>
  </pivotFields>
  <rowFields count="1">
    <field x="0"/>
  </rowFields>
  <rowItems count="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t="grand">
      <x/>
    </i>
  </rowItems>
  <colItems count="1">
    <i/>
  </colItems>
  <dataFields count="1">
    <dataField name="Som van Mean Tropical Year" fld="3"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Draaitabel1" cacheId="13" applyNumberFormats="0" applyBorderFormats="0" applyFontFormats="0" applyPatternFormats="0" applyAlignmentFormats="0" applyWidthHeightFormats="1" dataCaption="Waarden" updatedVersion="5" minRefreshableVersion="3" useAutoFormatting="1" itemPrintTitles="1" createdVersion="5" indent="0" outline="1" outlineData="1" multipleFieldFilters="0" chartFormat="4">
  <location ref="A1:B67" firstHeaderRow="1" firstDataRow="1" firstDataCol="1"/>
  <pivotFields count="11">
    <pivotField axis="axisRow"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dataField="1" showAll="0"/>
    <pivotField showAll="0"/>
    <pivotField showAll="0"/>
    <pivotField showAll="0"/>
    <pivotField showAll="0"/>
    <pivotField showAll="0"/>
    <pivotField showAll="0"/>
    <pivotField showAll="0"/>
    <pivotField showAll="0"/>
    <pivotField showAll="0"/>
  </pivotFields>
  <rowFields count="1">
    <field x="0"/>
  </rowFields>
  <rowItems count="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t="grand">
      <x/>
    </i>
  </rowItems>
  <colItems count="1">
    <i/>
  </colItems>
  <dataFields count="1">
    <dataField name="Som van Obliquity (°)" fld="1"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8"/>
  <sheetViews>
    <sheetView workbookViewId="0">
      <selection activeCell="B18" sqref="B18"/>
    </sheetView>
  </sheetViews>
  <sheetFormatPr defaultRowHeight="14.25" x14ac:dyDescent="0.5"/>
  <sheetData>
    <row r="1" spans="1:4" ht="15.75" x14ac:dyDescent="0.5">
      <c r="A1" t="s">
        <v>0</v>
      </c>
    </row>
    <row r="2" spans="1:4" ht="15.75" x14ac:dyDescent="0.5">
      <c r="A2" t="s">
        <v>1</v>
      </c>
      <c r="B2" t="s">
        <v>65</v>
      </c>
    </row>
    <row r="3" spans="1:4" ht="15.75" x14ac:dyDescent="0.5">
      <c r="A3" t="s">
        <v>2</v>
      </c>
      <c r="B3" t="s">
        <v>3</v>
      </c>
    </row>
    <row r="5" spans="1:4" ht="15.75" x14ac:dyDescent="0.5">
      <c r="A5" t="s">
        <v>4</v>
      </c>
    </row>
    <row r="6" spans="1:4" ht="15.75" x14ac:dyDescent="0.5">
      <c r="A6" t="s">
        <v>5</v>
      </c>
      <c r="B6">
        <v>24.681678000000002</v>
      </c>
    </row>
    <row r="7" spans="1:4" ht="15.75" x14ac:dyDescent="0.5">
      <c r="A7" t="s">
        <v>6</v>
      </c>
      <c r="B7">
        <v>1.38984E-2</v>
      </c>
    </row>
    <row r="9" spans="1:4" ht="15.75" x14ac:dyDescent="0.5">
      <c r="A9" t="s">
        <v>7</v>
      </c>
      <c r="B9" t="s">
        <v>8</v>
      </c>
      <c r="C9" t="s">
        <v>9</v>
      </c>
      <c r="D9" t="s">
        <v>10</v>
      </c>
    </row>
    <row r="10" spans="1:4" ht="15.75" x14ac:dyDescent="0.5">
      <c r="A10" t="s">
        <v>11</v>
      </c>
      <c r="B10">
        <v>365.24218864300002</v>
      </c>
      <c r="C10">
        <v>365.24237399999998</v>
      </c>
      <c r="D10">
        <v>-16.010000000000002</v>
      </c>
    </row>
    <row r="11" spans="1:4" ht="15.75" x14ac:dyDescent="0.5">
      <c r="A11" t="s">
        <v>12</v>
      </c>
      <c r="B11">
        <v>365.24219312399998</v>
      </c>
      <c r="C11">
        <v>365.241626</v>
      </c>
      <c r="D11">
        <v>49</v>
      </c>
    </row>
    <row r="12" spans="1:4" ht="15.75" x14ac:dyDescent="0.5">
      <c r="A12" t="s">
        <v>13</v>
      </c>
      <c r="B12">
        <v>365.24218856800002</v>
      </c>
      <c r="C12">
        <v>365.24201799999997</v>
      </c>
      <c r="D12">
        <v>14.74</v>
      </c>
    </row>
    <row r="13" spans="1:4" ht="15.75" x14ac:dyDescent="0.5">
      <c r="A13" t="s">
        <v>14</v>
      </c>
      <c r="B13">
        <v>365.24218487299999</v>
      </c>
      <c r="C13">
        <v>365.24274000000003</v>
      </c>
      <c r="D13">
        <v>-47.96</v>
      </c>
    </row>
    <row r="15" spans="1:4" ht="15.75" x14ac:dyDescent="0.5">
      <c r="A15" t="s">
        <v>15</v>
      </c>
    </row>
    <row r="16" spans="1:4" ht="15.75" x14ac:dyDescent="0.5">
      <c r="A16" t="s">
        <v>16</v>
      </c>
      <c r="B16">
        <v>365.24218880199999</v>
      </c>
    </row>
    <row r="17" spans="1:4" ht="15.75" x14ac:dyDescent="0.5">
      <c r="A17" t="s">
        <v>17</v>
      </c>
      <c r="B17">
        <v>365.24218969999998</v>
      </c>
    </row>
    <row r="18" spans="1:4" ht="15.75" x14ac:dyDescent="0.5">
      <c r="A18" t="s">
        <v>18</v>
      </c>
      <c r="B18">
        <v>-0.08</v>
      </c>
    </row>
    <row r="19" spans="1:4" ht="15.75" x14ac:dyDescent="0.5">
      <c r="A19" t="s">
        <v>19</v>
      </c>
      <c r="B19">
        <v>365.24218899800002</v>
      </c>
    </row>
    <row r="21" spans="1:4" ht="15.75" x14ac:dyDescent="0.5">
      <c r="A21" t="s">
        <v>20</v>
      </c>
      <c r="B21" t="s">
        <v>8</v>
      </c>
      <c r="C21" t="s">
        <v>9</v>
      </c>
      <c r="D21" t="s">
        <v>10</v>
      </c>
    </row>
    <row r="22" spans="1:4" ht="15.75" x14ac:dyDescent="0.5">
      <c r="A22" t="s">
        <v>21</v>
      </c>
      <c r="B22">
        <v>365.25969233900003</v>
      </c>
      <c r="C22">
        <v>365.259636</v>
      </c>
      <c r="D22">
        <v>4.87</v>
      </c>
    </row>
    <row r="23" spans="1:4" ht="15.75" x14ac:dyDescent="0.5">
      <c r="A23" t="s">
        <v>22</v>
      </c>
      <c r="B23">
        <v>365.25969233900003</v>
      </c>
      <c r="C23">
        <v>365.259636</v>
      </c>
      <c r="D23">
        <v>4.87</v>
      </c>
    </row>
    <row r="25" spans="1:4" ht="15.75" x14ac:dyDescent="0.5">
      <c r="A25" t="s">
        <v>23</v>
      </c>
      <c r="B25" t="s">
        <v>8</v>
      </c>
      <c r="C25" t="s">
        <v>9</v>
      </c>
      <c r="D25" t="s">
        <v>10</v>
      </c>
    </row>
    <row r="26" spans="1:4" ht="15.75" x14ac:dyDescent="0.5">
      <c r="A26" t="s">
        <v>24</v>
      </c>
      <c r="B26">
        <v>365.25641454599997</v>
      </c>
      <c r="C26">
        <v>365.25636300000002</v>
      </c>
      <c r="D26">
        <v>4.45</v>
      </c>
    </row>
    <row r="27" spans="1:4" ht="15.75" x14ac:dyDescent="0.5">
      <c r="A27" t="s">
        <v>25</v>
      </c>
      <c r="B27" t="s">
        <v>26</v>
      </c>
      <c r="C27" t="s">
        <v>26</v>
      </c>
      <c r="D27">
        <v>1229.0999999999999</v>
      </c>
    </row>
    <row r="28" spans="1:4" ht="15.75" x14ac:dyDescent="0.5">
      <c r="A28" t="s">
        <v>27</v>
      </c>
      <c r="B28" t="s">
        <v>26</v>
      </c>
      <c r="C28" t="s">
        <v>26</v>
      </c>
      <c r="D28">
        <v>1224.57</v>
      </c>
    </row>
    <row r="30" spans="1:4" ht="15.75" x14ac:dyDescent="0.5">
      <c r="A30" t="s">
        <v>28</v>
      </c>
    </row>
    <row r="31" spans="1:4" ht="15.75" x14ac:dyDescent="0.5">
      <c r="A31" t="s">
        <v>26</v>
      </c>
    </row>
    <row r="32" spans="1:4" ht="15.75" x14ac:dyDescent="0.5">
      <c r="A32" t="s">
        <v>29</v>
      </c>
    </row>
    <row r="33" spans="1:4" ht="15.75" x14ac:dyDescent="0.5">
      <c r="A33" t="s">
        <v>30</v>
      </c>
    </row>
    <row r="34" spans="1:4" ht="15.75" x14ac:dyDescent="0.5">
      <c r="A34" t="s">
        <v>31</v>
      </c>
      <c r="B34" t="s">
        <v>26</v>
      </c>
      <c r="C34" t="s">
        <v>26</v>
      </c>
      <c r="D34" t="s">
        <v>66</v>
      </c>
    </row>
    <row r="35" spans="1:4" ht="15.75" x14ac:dyDescent="0.5">
      <c r="A35" t="s">
        <v>32</v>
      </c>
      <c r="B35" t="s">
        <v>26</v>
      </c>
      <c r="C35" t="s">
        <v>26</v>
      </c>
      <c r="D35" t="s">
        <v>67</v>
      </c>
    </row>
    <row r="36" spans="1:4" ht="15.75" x14ac:dyDescent="0.5">
      <c r="A36" t="s">
        <v>33</v>
      </c>
    </row>
    <row r="37" spans="1:4" ht="15.75" x14ac:dyDescent="0.5">
      <c r="A37" t="s">
        <v>26</v>
      </c>
    </row>
    <row r="38" spans="1:4" ht="15.75" x14ac:dyDescent="0.5">
      <c r="A38" t="s">
        <v>34</v>
      </c>
    </row>
    <row r="39" spans="1:4" ht="15.75" x14ac:dyDescent="0.5">
      <c r="A39" t="s">
        <v>35</v>
      </c>
    </row>
    <row r="40" spans="1:4" ht="15.75" x14ac:dyDescent="0.5">
      <c r="A40" t="s">
        <v>68</v>
      </c>
    </row>
    <row r="41" spans="1:4" ht="15.75" x14ac:dyDescent="0.5">
      <c r="A41" t="s">
        <v>36</v>
      </c>
      <c r="B41" t="s">
        <v>26</v>
      </c>
      <c r="C41" t="s">
        <v>26</v>
      </c>
      <c r="D41" t="s">
        <v>69</v>
      </c>
    </row>
    <row r="43" spans="1:4" ht="15.75" x14ac:dyDescent="0.5">
      <c r="A43" t="s">
        <v>37</v>
      </c>
    </row>
    <row r="44" spans="1:4" ht="15.75" x14ac:dyDescent="0.5">
      <c r="A44" t="s">
        <v>38</v>
      </c>
      <c r="B44">
        <v>365.25641454599997</v>
      </c>
      <c r="C44" t="s">
        <v>26</v>
      </c>
      <c r="D44" t="s">
        <v>26</v>
      </c>
    </row>
    <row r="45" spans="1:4" ht="15.75" x14ac:dyDescent="0.5">
      <c r="A45" t="s">
        <v>39</v>
      </c>
      <c r="B45">
        <v>365.24218880199999</v>
      </c>
      <c r="C45" t="s">
        <v>26</v>
      </c>
      <c r="D45" t="s">
        <v>26</v>
      </c>
    </row>
    <row r="46" spans="1:4" ht="15.75" x14ac:dyDescent="0.5">
      <c r="A46" t="s">
        <v>26</v>
      </c>
    </row>
    <row r="47" spans="1:4" ht="15.75" x14ac:dyDescent="0.5">
      <c r="A47" t="s">
        <v>40</v>
      </c>
    </row>
    <row r="48" spans="1:4" ht="15.75" x14ac:dyDescent="0.5">
      <c r="A48" t="s">
        <v>41</v>
      </c>
      <c r="B48" t="s">
        <v>70</v>
      </c>
      <c r="C48" t="s">
        <v>71</v>
      </c>
      <c r="D48" t="s">
        <v>26</v>
      </c>
    </row>
  </sheetData>
  <pageMargins left="0.7" right="0.7" top="0.75" bottom="0.75" header="0.3" footer="0.3"/>
  <ignoredErrors>
    <ignoredError sqref="A1:D1 A3:D5 A2 C2:D2 A8:D9 A6 C6:D6 A7 C7:D7 A14:D15 A10 A11 A12 A13 A20:D21 A16 C16:D16 A17 C17:D17 A18 C18:D18 A19 C19:D19 A24:D25 A22 A23 A29:D33 A26 A27:C27 A28:C28 A36:D39 A34:C34 A35:C35 A42:D43 B40:D40 A41:C41 A46:D47 A44 C44:D44 A45 C45:D45 A48 D4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6"/>
  <sheetViews>
    <sheetView workbookViewId="0"/>
  </sheetViews>
  <sheetFormatPr defaultRowHeight="14.25" x14ac:dyDescent="0.5"/>
  <sheetData>
    <row r="1" spans="1:9" ht="15.75" x14ac:dyDescent="0.5">
      <c r="A1" t="s">
        <v>42</v>
      </c>
      <c r="B1" t="s">
        <v>43</v>
      </c>
      <c r="C1" t="s">
        <v>44</v>
      </c>
      <c r="D1" t="s">
        <v>45</v>
      </c>
      <c r="E1" t="s">
        <v>46</v>
      </c>
      <c r="F1" t="s">
        <v>47</v>
      </c>
      <c r="G1" t="s">
        <v>48</v>
      </c>
      <c r="H1" t="s">
        <v>49</v>
      </c>
      <c r="I1" t="s">
        <v>50</v>
      </c>
    </row>
    <row r="2" spans="1:9" ht="15.75" x14ac:dyDescent="0.5">
      <c r="A2">
        <v>-301340</v>
      </c>
      <c r="B2">
        <v>-108340938.778916</v>
      </c>
      <c r="C2">
        <v>365.242165715</v>
      </c>
      <c r="D2">
        <v>-108340848.828954</v>
      </c>
      <c r="E2">
        <v>365.24245746399998</v>
      </c>
      <c r="F2">
        <v>-108340757.773646</v>
      </c>
      <c r="G2">
        <v>365.24216061800001</v>
      </c>
      <c r="H2">
        <v>-108340666.208261</v>
      </c>
      <c r="I2">
        <v>365.24192117199999</v>
      </c>
    </row>
    <row r="3" spans="1:9" ht="15.75" x14ac:dyDescent="0.5">
      <c r="A3">
        <v>-296123</v>
      </c>
      <c r="B3">
        <v>-106435471.28095999</v>
      </c>
      <c r="C3">
        <v>365.24190503400001</v>
      </c>
      <c r="D3">
        <v>-106435379.437133</v>
      </c>
      <c r="E3">
        <v>365.24218912399999</v>
      </c>
      <c r="F3">
        <v>-106435288.507539</v>
      </c>
      <c r="G3">
        <v>365.24244183299999</v>
      </c>
      <c r="H3">
        <v>-106435198.597335</v>
      </c>
      <c r="I3">
        <v>365.242189139</v>
      </c>
    </row>
    <row r="4" spans="1:9" ht="15.75" x14ac:dyDescent="0.5">
      <c r="A4">
        <v>-290906</v>
      </c>
      <c r="B4">
        <v>-104530003.69300801</v>
      </c>
      <c r="C4">
        <v>365.242198363</v>
      </c>
      <c r="D4">
        <v>-104529911.82755101</v>
      </c>
      <c r="E4">
        <v>365.241920978</v>
      </c>
      <c r="F4">
        <v>-104529819.12525199</v>
      </c>
      <c r="G4">
        <v>365.24220228199999</v>
      </c>
      <c r="H4">
        <v>-104529729.206109</v>
      </c>
      <c r="I4">
        <v>365.24245727099998</v>
      </c>
    </row>
    <row r="5" spans="1:9" ht="15.75" x14ac:dyDescent="0.5">
      <c r="A5">
        <v>-285689</v>
      </c>
      <c r="B5">
        <v>-102624534.17879599</v>
      </c>
      <c r="C5">
        <v>365.24249422600002</v>
      </c>
      <c r="D5">
        <v>-102624444.215873</v>
      </c>
      <c r="E5">
        <v>365.24218967600001</v>
      </c>
      <c r="F5">
        <v>-102624351.375655</v>
      </c>
      <c r="G5">
        <v>365.24195909500003</v>
      </c>
      <c r="H5">
        <v>-102624259.81349701</v>
      </c>
      <c r="I5">
        <v>365.24218972</v>
      </c>
    </row>
    <row r="6" spans="1:9" ht="15.75" x14ac:dyDescent="0.5">
      <c r="A6">
        <v>-280472</v>
      </c>
      <c r="B6">
        <v>-100719064.547738</v>
      </c>
      <c r="C6">
        <v>365.24224035399999</v>
      </c>
      <c r="D6">
        <v>-100718974.821229</v>
      </c>
      <c r="E6">
        <v>365.24245770300001</v>
      </c>
      <c r="F6">
        <v>-100718883.54235899</v>
      </c>
      <c r="G6">
        <v>365.24223312700002</v>
      </c>
      <c r="H6">
        <v>-100718792.20031799</v>
      </c>
      <c r="I6">
        <v>365.24192138000001</v>
      </c>
    </row>
    <row r="7" spans="1:9" ht="15.75" x14ac:dyDescent="0.5">
      <c r="A7">
        <v>-275255</v>
      </c>
      <c r="B7">
        <v>-98813596.698254004</v>
      </c>
      <c r="C7">
        <v>365.24195590599999</v>
      </c>
      <c r="D7">
        <v>-98813505.431294993</v>
      </c>
      <c r="E7">
        <v>365.24218812599997</v>
      </c>
      <c r="F7">
        <v>-98813413.942412004</v>
      </c>
      <c r="G7">
        <v>365.24249109599998</v>
      </c>
      <c r="H7">
        <v>-98813324.591512993</v>
      </c>
      <c r="I7">
        <v>365.24218806599998</v>
      </c>
    </row>
    <row r="8" spans="1:9" ht="15.75" x14ac:dyDescent="0.5">
      <c r="A8">
        <v>-270038</v>
      </c>
      <c r="B8">
        <v>-96908129.002966002</v>
      </c>
      <c r="C8">
        <v>365.24218593500001</v>
      </c>
      <c r="D8">
        <v>-96908037.829916</v>
      </c>
      <c r="E8">
        <v>365.24191902600001</v>
      </c>
      <c r="F8">
        <v>-96907944.435515001</v>
      </c>
      <c r="G8">
        <v>365.24219617199998</v>
      </c>
      <c r="H8">
        <v>-96907855.208397001</v>
      </c>
      <c r="I8">
        <v>365.24245540800001</v>
      </c>
    </row>
    <row r="9" spans="1:9" ht="15.75" x14ac:dyDescent="0.5">
      <c r="A9">
        <v>-264821</v>
      </c>
      <c r="B9">
        <v>-95002659.714840993</v>
      </c>
      <c r="C9">
        <v>365.24242341500002</v>
      </c>
      <c r="D9">
        <v>-95002570.227445006</v>
      </c>
      <c r="E9">
        <v>365.242188349</v>
      </c>
      <c r="F9">
        <v>-95002476.897320002</v>
      </c>
      <c r="G9">
        <v>365.24188615399999</v>
      </c>
      <c r="H9">
        <v>-95002385.825037003</v>
      </c>
      <c r="I9">
        <v>365.24218827499999</v>
      </c>
    </row>
    <row r="10" spans="1:9" ht="15.75" x14ac:dyDescent="0.5">
      <c r="A10">
        <v>-259604</v>
      </c>
      <c r="B10">
        <v>-93097190.549826995</v>
      </c>
      <c r="C10">
        <v>365.24213859399998</v>
      </c>
      <c r="D10">
        <v>-93097100.835670993</v>
      </c>
      <c r="E10">
        <v>365.24245795600001</v>
      </c>
      <c r="F10">
        <v>-93097009.544498995</v>
      </c>
      <c r="G10">
        <v>365.24213136700001</v>
      </c>
      <c r="H10">
        <v>-93096918.215167001</v>
      </c>
      <c r="I10">
        <v>365.24192164800002</v>
      </c>
    </row>
    <row r="11" spans="1:9" ht="15.75" x14ac:dyDescent="0.5">
      <c r="A11">
        <v>-254387</v>
      </c>
      <c r="B11">
        <v>-91191723.205823004</v>
      </c>
      <c r="C11">
        <v>365.241874069</v>
      </c>
      <c r="D11">
        <v>-91191631.440515995</v>
      </c>
      <c r="E11">
        <v>365.24218970499999</v>
      </c>
      <c r="F11">
        <v>-91191540.434687003</v>
      </c>
      <c r="G11">
        <v>365.24241179199998</v>
      </c>
      <c r="H11">
        <v>-91191450.600707993</v>
      </c>
      <c r="I11">
        <v>365.24218975000002</v>
      </c>
    </row>
    <row r="12" spans="1:9" ht="15.75" x14ac:dyDescent="0.5">
      <c r="A12">
        <v>-249170</v>
      </c>
      <c r="B12">
        <v>-89286255.775105998</v>
      </c>
      <c r="C12">
        <v>365.24216999100003</v>
      </c>
      <c r="D12">
        <v>-89286163.829914004</v>
      </c>
      <c r="E12">
        <v>365.24192069499998</v>
      </c>
      <c r="F12">
        <v>-89286071.207346007</v>
      </c>
      <c r="G12">
        <v>365.24217310500001</v>
      </c>
      <c r="H12">
        <v>-89285981.208395004</v>
      </c>
      <c r="I12">
        <v>365.24245701699999</v>
      </c>
    </row>
    <row r="13" spans="1:9" ht="15.75" x14ac:dyDescent="0.5">
      <c r="A13">
        <v>-243953</v>
      </c>
      <c r="B13">
        <v>-87380786.397690997</v>
      </c>
      <c r="C13">
        <v>365.24246978799999</v>
      </c>
      <c r="D13">
        <v>-87380696.221662</v>
      </c>
      <c r="E13">
        <v>365.24218884099997</v>
      </c>
      <c r="F13">
        <v>-87380603.601368994</v>
      </c>
      <c r="G13">
        <v>365.24193388200001</v>
      </c>
      <c r="H13">
        <v>-87380511.81927</v>
      </c>
      <c r="I13">
        <v>365.24218879599999</v>
      </c>
    </row>
    <row r="14" spans="1:9" ht="15.75" x14ac:dyDescent="0.5">
      <c r="A14">
        <v>-238736</v>
      </c>
      <c r="B14">
        <v>-85475316.887918994</v>
      </c>
      <c r="C14">
        <v>365.24221840500002</v>
      </c>
      <c r="D14">
        <v>-85475226.830399007</v>
      </c>
      <c r="E14">
        <v>365.24245743500001</v>
      </c>
      <c r="F14">
        <v>-85475135.882649004</v>
      </c>
      <c r="G14">
        <v>365.242214322</v>
      </c>
      <c r="H14">
        <v>-85475044.209747002</v>
      </c>
      <c r="I14">
        <v>365.24192112700001</v>
      </c>
    </row>
    <row r="15" spans="1:9" ht="15.75" x14ac:dyDescent="0.5">
      <c r="A15">
        <v>-233519</v>
      </c>
      <c r="B15">
        <v>-83569849.139047995</v>
      </c>
      <c r="C15">
        <v>365.24194019999999</v>
      </c>
      <c r="D15">
        <v>-83569757.438109994</v>
      </c>
      <c r="E15">
        <v>365.24218931799999</v>
      </c>
      <c r="F15">
        <v>-83569666.369895995</v>
      </c>
      <c r="G15">
        <v>365.24247589700002</v>
      </c>
      <c r="H15">
        <v>-83569576.598307997</v>
      </c>
      <c r="I15">
        <v>365.24218934800001</v>
      </c>
    </row>
    <row r="16" spans="1:9" ht="15.75" x14ac:dyDescent="0.5">
      <c r="A16">
        <v>-228302</v>
      </c>
      <c r="B16">
        <v>-81664381.501423001</v>
      </c>
      <c r="C16">
        <v>365.24217945300001</v>
      </c>
      <c r="D16">
        <v>-81664289.827551007</v>
      </c>
      <c r="E16">
        <v>365.24192112700001</v>
      </c>
      <c r="F16">
        <v>-81664196.933732003</v>
      </c>
      <c r="G16">
        <v>365.24218511599997</v>
      </c>
      <c r="H16">
        <v>-81664107.206109002</v>
      </c>
      <c r="I16">
        <v>365.24245740499998</v>
      </c>
    </row>
    <row r="17" spans="1:9" ht="15.75" x14ac:dyDescent="0.5">
      <c r="A17">
        <v>-223085</v>
      </c>
      <c r="B17">
        <v>-79758912.227964997</v>
      </c>
      <c r="C17">
        <v>365.24242383199999</v>
      </c>
      <c r="D17">
        <v>-79758822.215703994</v>
      </c>
      <c r="E17">
        <v>365.24218961600002</v>
      </c>
      <c r="F17">
        <v>-79758729.426390007</v>
      </c>
      <c r="G17">
        <v>365.24188652599997</v>
      </c>
      <c r="H17">
        <v>-79758637.813327998</v>
      </c>
      <c r="I17">
        <v>365.24218961600002</v>
      </c>
    </row>
    <row r="18" spans="1:9" ht="15.75" x14ac:dyDescent="0.5">
      <c r="A18">
        <v>-217868</v>
      </c>
      <c r="B18">
        <v>-77853443.041815996</v>
      </c>
      <c r="C18">
        <v>365.24214702799998</v>
      </c>
      <c r="D18">
        <v>-77853352.821937993</v>
      </c>
      <c r="E18">
        <v>365.24245749400001</v>
      </c>
      <c r="F18">
        <v>-77853262.036606997</v>
      </c>
      <c r="G18">
        <v>365.24214433100002</v>
      </c>
      <c r="H18">
        <v>-77853170.201048002</v>
      </c>
      <c r="I18">
        <v>365.24192117199999</v>
      </c>
    </row>
    <row r="19" spans="1:9" ht="15.75" x14ac:dyDescent="0.5">
      <c r="A19">
        <v>-212651</v>
      </c>
      <c r="B19">
        <v>-75947975.624694005</v>
      </c>
      <c r="C19">
        <v>365.24189363400001</v>
      </c>
      <c r="D19">
        <v>-75947883.432830006</v>
      </c>
      <c r="E19">
        <v>365.24218806599998</v>
      </c>
      <c r="F19">
        <v>-75947792.840901002</v>
      </c>
      <c r="G19">
        <v>365.24243076099998</v>
      </c>
      <c r="H19">
        <v>-75947702.593043998</v>
      </c>
      <c r="I19">
        <v>365.24218803600002</v>
      </c>
    </row>
    <row r="20" spans="1:9" ht="15.75" x14ac:dyDescent="0.5">
      <c r="A20">
        <v>-207434</v>
      </c>
      <c r="B20">
        <v>-74042508.072478995</v>
      </c>
      <c r="C20">
        <v>365.24219562100001</v>
      </c>
      <c r="D20">
        <v>-74042415.830893993</v>
      </c>
      <c r="E20">
        <v>365.24191930900002</v>
      </c>
      <c r="F20">
        <v>-74042323.504675999</v>
      </c>
      <c r="G20">
        <v>365.24219602300002</v>
      </c>
      <c r="H20">
        <v>-74042233.209342003</v>
      </c>
      <c r="I20">
        <v>365.24245567600002</v>
      </c>
    </row>
    <row r="21" spans="1:9" ht="15.75" x14ac:dyDescent="0.5">
      <c r="A21">
        <v>-202217</v>
      </c>
      <c r="B21">
        <v>-72137038.560159996</v>
      </c>
      <c r="C21">
        <v>365.24249552200001</v>
      </c>
      <c r="D21">
        <v>-72136948.226457998</v>
      </c>
      <c r="E21">
        <v>365.24218879599999</v>
      </c>
      <c r="F21">
        <v>-72136855.768878996</v>
      </c>
      <c r="G21">
        <v>365.24196039100002</v>
      </c>
      <c r="H21">
        <v>-72136763.824052006</v>
      </c>
      <c r="I21">
        <v>365.24218870700003</v>
      </c>
    </row>
    <row r="22" spans="1:9" ht="15.75" x14ac:dyDescent="0.5">
      <c r="A22">
        <v>-197000</v>
      </c>
      <c r="B22">
        <v>-70231568.915196002</v>
      </c>
      <c r="C22">
        <v>365.24224486899999</v>
      </c>
      <c r="D22">
        <v>-70231478.832879007</v>
      </c>
      <c r="E22">
        <v>365.24245816500002</v>
      </c>
      <c r="F22">
        <v>-70231387.909917995</v>
      </c>
      <c r="G22">
        <v>365.242241025</v>
      </c>
      <c r="H22">
        <v>-70231296.212297007</v>
      </c>
      <c r="I22">
        <v>365.241921902</v>
      </c>
    </row>
    <row r="23" spans="1:9" ht="15.75" x14ac:dyDescent="0.5">
      <c r="A23">
        <v>-191783</v>
      </c>
      <c r="B23">
        <v>-68326101.025573999</v>
      </c>
      <c r="C23">
        <v>365.241967246</v>
      </c>
      <c r="D23">
        <v>-68326009.437500998</v>
      </c>
      <c r="E23">
        <v>365.24218954100002</v>
      </c>
      <c r="F23">
        <v>-68325918.259836003</v>
      </c>
      <c r="G23">
        <v>365.242502108</v>
      </c>
      <c r="H23">
        <v>-68325828.597701997</v>
      </c>
      <c r="I23">
        <v>365.24218960100001</v>
      </c>
    </row>
    <row r="24" spans="1:9" ht="15.75" x14ac:dyDescent="0.5">
      <c r="A24">
        <v>-186566</v>
      </c>
      <c r="B24">
        <v>-66420633.25299</v>
      </c>
      <c r="C24">
        <v>365.24220371199999</v>
      </c>
      <c r="D24">
        <v>-66420541.828529999</v>
      </c>
      <c r="E24">
        <v>365.24192028499999</v>
      </c>
      <c r="F24">
        <v>-66420448.685390003</v>
      </c>
      <c r="G24">
        <v>365.24221163999999</v>
      </c>
      <c r="H24">
        <v>-66420359.207056001</v>
      </c>
      <c r="I24">
        <v>365.242456608</v>
      </c>
    </row>
    <row r="25" spans="1:9" ht="15.75" x14ac:dyDescent="0.5">
      <c r="A25">
        <v>-181349</v>
      </c>
      <c r="B25">
        <v>-64515163.862164997</v>
      </c>
      <c r="C25">
        <v>365.24244469400003</v>
      </c>
      <c r="D25">
        <v>-64515074.222410999</v>
      </c>
      <c r="E25">
        <v>365.24218851299997</v>
      </c>
      <c r="F25">
        <v>-64514981.049208999</v>
      </c>
      <c r="G25">
        <v>365.24190806600001</v>
      </c>
      <c r="H25">
        <v>-64514889.820017003</v>
      </c>
      <c r="I25">
        <v>365.242188446</v>
      </c>
    </row>
    <row r="26" spans="1:9" ht="15.75" x14ac:dyDescent="0.5">
      <c r="A26">
        <v>-176132</v>
      </c>
      <c r="B26">
        <v>-62609694.578717001</v>
      </c>
      <c r="C26">
        <v>365.242162608</v>
      </c>
      <c r="D26">
        <v>-62609604.832162</v>
      </c>
      <c r="E26">
        <v>365.242457382</v>
      </c>
      <c r="F26">
        <v>-62609513.573388003</v>
      </c>
      <c r="G26">
        <v>365.24215564100001</v>
      </c>
      <c r="H26">
        <v>-62609422.211560003</v>
      </c>
      <c r="I26">
        <v>365.24192108199998</v>
      </c>
    </row>
    <row r="27" spans="1:9" ht="15.75" x14ac:dyDescent="0.5">
      <c r="A27">
        <v>-170915</v>
      </c>
      <c r="B27">
        <v>-60704227.108528003</v>
      </c>
      <c r="C27">
        <v>365.24189751599999</v>
      </c>
      <c r="D27">
        <v>-60704135.439622998</v>
      </c>
      <c r="E27">
        <v>365.24218940700001</v>
      </c>
      <c r="F27">
        <v>-60704044.340319</v>
      </c>
      <c r="G27">
        <v>365.24243450900002</v>
      </c>
      <c r="H27">
        <v>-60703954.599817</v>
      </c>
      <c r="I27">
        <v>365.24218947399999</v>
      </c>
    </row>
    <row r="28" spans="1:9" ht="15.75" x14ac:dyDescent="0.5">
      <c r="A28">
        <v>-165698</v>
      </c>
      <c r="B28">
        <v>-58798759.568030998</v>
      </c>
      <c r="C28">
        <v>365.24218826700002</v>
      </c>
      <c r="D28">
        <v>-58798667.828529999</v>
      </c>
      <c r="E28">
        <v>365.24192117199999</v>
      </c>
      <c r="F28">
        <v>-58798575.000312999</v>
      </c>
      <c r="G28">
        <v>365.24219330400001</v>
      </c>
      <c r="H28">
        <v>-58798485.207056001</v>
      </c>
      <c r="I28">
        <v>365.24245746399998</v>
      </c>
    </row>
    <row r="29" spans="1:9" ht="15.75" x14ac:dyDescent="0.5">
      <c r="A29">
        <v>-160481</v>
      </c>
      <c r="B29">
        <v>-56893290.107592002</v>
      </c>
      <c r="C29">
        <v>365.24248387699998</v>
      </c>
      <c r="D29">
        <v>-56893200.216848001</v>
      </c>
      <c r="E29">
        <v>365.24218951199998</v>
      </c>
      <c r="F29">
        <v>-56893107.302244</v>
      </c>
      <c r="G29">
        <v>365.24194842600002</v>
      </c>
      <c r="H29">
        <v>-56893015.814469002</v>
      </c>
      <c r="I29">
        <v>365.242189489</v>
      </c>
    </row>
    <row r="30" spans="1:9" ht="15.75" x14ac:dyDescent="0.5">
      <c r="A30">
        <v>-155264</v>
      </c>
      <c r="B30">
        <v>-54987820.531617999</v>
      </c>
      <c r="C30">
        <v>365.24222942400002</v>
      </c>
      <c r="D30">
        <v>-54987730.823710002</v>
      </c>
      <c r="E30">
        <v>365.24245740499998</v>
      </c>
      <c r="F30">
        <v>-54987639.526238002</v>
      </c>
      <c r="G30">
        <v>365.242222056</v>
      </c>
      <c r="H30">
        <v>-54987548.202869996</v>
      </c>
      <c r="I30">
        <v>365.24192109699999</v>
      </c>
    </row>
    <row r="31" spans="1:9" ht="15.75" x14ac:dyDescent="0.5">
      <c r="A31">
        <v>-150047</v>
      </c>
      <c r="B31">
        <v>-53082352.741058998</v>
      </c>
      <c r="C31">
        <v>365.24194443200003</v>
      </c>
      <c r="D31">
        <v>-53082261.434510998</v>
      </c>
      <c r="E31">
        <v>365.242188193</v>
      </c>
      <c r="F31">
        <v>-53082169.983929001</v>
      </c>
      <c r="G31">
        <v>365.24247996499997</v>
      </c>
      <c r="H31">
        <v>-53082080.594719999</v>
      </c>
      <c r="I31">
        <v>365.24218819999999</v>
      </c>
    </row>
    <row r="32" spans="1:9" ht="15.75" x14ac:dyDescent="0.5">
      <c r="A32">
        <v>-144830</v>
      </c>
      <c r="B32">
        <v>-51176885.103812002</v>
      </c>
      <c r="C32">
        <v>365.24217536999998</v>
      </c>
      <c r="D32">
        <v>-51176793.830894999</v>
      </c>
      <c r="E32">
        <v>365.24191975600002</v>
      </c>
      <c r="F32">
        <v>-51176700.536305003</v>
      </c>
      <c r="G32">
        <v>365.24218467600002</v>
      </c>
      <c r="H32">
        <v>-51176611.209343001</v>
      </c>
      <c r="I32">
        <v>365.242456108</v>
      </c>
    </row>
    <row r="33" spans="1:9" ht="15.75" x14ac:dyDescent="0.5">
      <c r="A33">
        <v>-139613</v>
      </c>
      <c r="B33">
        <v>-49271415.867127001</v>
      </c>
      <c r="C33">
        <v>365.24241422900002</v>
      </c>
      <c r="D33">
        <v>-49271326.223968998</v>
      </c>
      <c r="E33">
        <v>365.24218922900002</v>
      </c>
      <c r="F33">
        <v>-49271233.054341003</v>
      </c>
      <c r="G33">
        <v>365.24187664700003</v>
      </c>
      <c r="H33">
        <v>-49271141.821570002</v>
      </c>
      <c r="I33">
        <v>365.24218914699998</v>
      </c>
    </row>
    <row r="34" spans="1:9" ht="15.75" x14ac:dyDescent="0.5">
      <c r="A34">
        <v>-134396</v>
      </c>
      <c r="B34">
        <v>-47365946.745058998</v>
      </c>
      <c r="C34">
        <v>365.24213172499998</v>
      </c>
      <c r="D34">
        <v>-47365856.828952998</v>
      </c>
      <c r="E34">
        <v>365.242458269</v>
      </c>
      <c r="F34">
        <v>-47365765.739797004</v>
      </c>
      <c r="G34">
        <v>365.24212629300001</v>
      </c>
      <c r="H34">
        <v>-47365674.208260998</v>
      </c>
      <c r="I34">
        <v>365.24192199100003</v>
      </c>
    </row>
    <row r="35" spans="1:9" ht="15.75" x14ac:dyDescent="0.5">
      <c r="A35">
        <v>-129179</v>
      </c>
      <c r="B35">
        <v>-45460479.424547002</v>
      </c>
      <c r="C35">
        <v>365.24187232600002</v>
      </c>
      <c r="D35">
        <v>-45460387.434208997</v>
      </c>
      <c r="E35">
        <v>365.24218922900002</v>
      </c>
      <c r="F35">
        <v>-45460296.646807</v>
      </c>
      <c r="G35">
        <v>365.242410108</v>
      </c>
      <c r="H35">
        <v>-45460206.594417997</v>
      </c>
      <c r="I35">
        <v>365.24218922900002</v>
      </c>
    </row>
    <row r="36" spans="1:9" ht="15.75" x14ac:dyDescent="0.5">
      <c r="A36">
        <v>-123962</v>
      </c>
      <c r="B36">
        <v>-43555011.988614</v>
      </c>
      <c r="C36">
        <v>365.24217328399999</v>
      </c>
      <c r="D36">
        <v>-43554919.827551998</v>
      </c>
      <c r="E36">
        <v>365.24191977100003</v>
      </c>
      <c r="F36">
        <v>-43554827.420824997</v>
      </c>
      <c r="G36">
        <v>365.24217444700002</v>
      </c>
      <c r="H36">
        <v>-43554737.206110999</v>
      </c>
      <c r="I36">
        <v>365.24245612300001</v>
      </c>
    </row>
    <row r="37" spans="1:9" ht="15.75" x14ac:dyDescent="0.5">
      <c r="A37">
        <v>-118745</v>
      </c>
      <c r="B37">
        <v>-41649542.587867998</v>
      </c>
      <c r="C37">
        <v>365.242475055</v>
      </c>
      <c r="D37">
        <v>-41649452.223663002</v>
      </c>
      <c r="E37">
        <v>365.242188215</v>
      </c>
      <c r="F37">
        <v>-41649359.797458999</v>
      </c>
      <c r="G37">
        <v>365.24193931399998</v>
      </c>
      <c r="H37">
        <v>-41649267.821264997</v>
      </c>
      <c r="I37">
        <v>365.24218814099999</v>
      </c>
    </row>
    <row r="38" spans="1:9" ht="15.75" x14ac:dyDescent="0.5">
      <c r="A38">
        <v>-113528</v>
      </c>
      <c r="B38">
        <v>-39744073.046920002</v>
      </c>
      <c r="C38">
        <v>365.24222534099999</v>
      </c>
      <c r="D38">
        <v>-39743982.834195003</v>
      </c>
      <c r="E38">
        <v>365.242457382</v>
      </c>
      <c r="F38">
        <v>-39743892.041671999</v>
      </c>
      <c r="G38">
        <v>365.24222271100001</v>
      </c>
      <c r="H38">
        <v>-39743800.213651001</v>
      </c>
      <c r="I38">
        <v>365.24192108199998</v>
      </c>
    </row>
    <row r="39" spans="1:9" ht="15.75" x14ac:dyDescent="0.5">
      <c r="A39">
        <v>-108311</v>
      </c>
      <c r="B39">
        <v>-37838605.254285</v>
      </c>
      <c r="C39">
        <v>365.24195012500002</v>
      </c>
      <c r="D39">
        <v>-37838513.441326998</v>
      </c>
      <c r="E39">
        <v>365.24218951900002</v>
      </c>
      <c r="F39">
        <v>-37838422.481647998</v>
      </c>
      <c r="G39">
        <v>365.24248553799998</v>
      </c>
      <c r="H39">
        <v>-37838332.601516001</v>
      </c>
      <c r="I39">
        <v>365.24218957900001</v>
      </c>
    </row>
    <row r="40" spans="1:9" ht="15.75" x14ac:dyDescent="0.5">
      <c r="A40">
        <v>-103094</v>
      </c>
      <c r="B40">
        <v>-35933137.558753997</v>
      </c>
      <c r="C40">
        <v>365.24219140399998</v>
      </c>
      <c r="D40">
        <v>-35933045.829914004</v>
      </c>
      <c r="E40">
        <v>365.24192117199999</v>
      </c>
      <c r="F40">
        <v>-35932952.991038002</v>
      </c>
      <c r="G40">
        <v>365.24219651499999</v>
      </c>
      <c r="H40">
        <v>-35932863.208393998</v>
      </c>
      <c r="I40">
        <v>365.242457479</v>
      </c>
    </row>
    <row r="41" spans="1:9" ht="15.75" x14ac:dyDescent="0.5">
      <c r="A41">
        <v>-97877</v>
      </c>
      <c r="B41">
        <v>-34027668.22112</v>
      </c>
      <c r="C41">
        <v>365.24243637900003</v>
      </c>
      <c r="D41">
        <v>-34027578.218552999</v>
      </c>
      <c r="E41">
        <v>365.24218941499998</v>
      </c>
      <c r="F41">
        <v>-34027485.419325002</v>
      </c>
      <c r="G41">
        <v>365.24189944599999</v>
      </c>
      <c r="H41">
        <v>-34027393.816169001</v>
      </c>
      <c r="I41">
        <v>365.24218937799998</v>
      </c>
    </row>
    <row r="42" spans="1:9" ht="15.75" x14ac:dyDescent="0.5">
      <c r="A42">
        <v>-92660</v>
      </c>
      <c r="B42">
        <v>-32122198.969337001</v>
      </c>
      <c r="C42">
        <v>365.242159426</v>
      </c>
      <c r="D42">
        <v>-32122108.825746998</v>
      </c>
      <c r="E42">
        <v>365.24245740499998</v>
      </c>
      <c r="F42">
        <v>-32122017.964111</v>
      </c>
      <c r="G42">
        <v>365.24215608499998</v>
      </c>
      <c r="H42">
        <v>-32121926.204964001</v>
      </c>
      <c r="I42">
        <v>365.24192110400003</v>
      </c>
    </row>
    <row r="43" spans="1:9" ht="15.75" x14ac:dyDescent="0.5">
      <c r="A43">
        <v>-87443</v>
      </c>
      <c r="B43">
        <v>-30216731.492756002</v>
      </c>
      <c r="C43">
        <v>365.24190348799999</v>
      </c>
      <c r="D43">
        <v>-30216639.435766999</v>
      </c>
      <c r="E43">
        <v>365.24218851000001</v>
      </c>
      <c r="F43">
        <v>-30216548.712940998</v>
      </c>
      <c r="G43">
        <v>365.242440321</v>
      </c>
      <c r="H43">
        <v>-30216458.595973</v>
      </c>
      <c r="I43">
        <v>365.24218852400003</v>
      </c>
    </row>
    <row r="44" spans="1:9" ht="15.75" x14ac:dyDescent="0.5">
      <c r="A44">
        <v>-82226</v>
      </c>
      <c r="B44">
        <v>-28311263.900097001</v>
      </c>
      <c r="C44">
        <v>365.242201325</v>
      </c>
      <c r="D44">
        <v>-28311171.829914</v>
      </c>
      <c r="E44">
        <v>365.24192026600002</v>
      </c>
      <c r="F44">
        <v>-28311079.332302</v>
      </c>
      <c r="G44">
        <v>365.24220330600002</v>
      </c>
      <c r="H44">
        <v>-28310989.208395001</v>
      </c>
      <c r="I44">
        <v>365.24245660000003</v>
      </c>
    </row>
    <row r="45" spans="1:9" ht="15.75" x14ac:dyDescent="0.5">
      <c r="A45">
        <v>-77009</v>
      </c>
      <c r="B45">
        <v>-26405794.365134001</v>
      </c>
      <c r="C45">
        <v>365.242498856</v>
      </c>
      <c r="D45">
        <v>-26405704.220674001</v>
      </c>
      <c r="E45">
        <v>365.24218955999999</v>
      </c>
      <c r="F45">
        <v>-26405611.567784999</v>
      </c>
      <c r="G45">
        <v>365.24196386300002</v>
      </c>
      <c r="H45">
        <v>-26405519.818284001</v>
      </c>
      <c r="I45">
        <v>365.24218950400001</v>
      </c>
    </row>
    <row r="46" spans="1:9" ht="15.75" x14ac:dyDescent="0.5">
      <c r="A46">
        <v>-71792</v>
      </c>
      <c r="B46">
        <v>-24500324.706551999</v>
      </c>
      <c r="C46">
        <v>365.24224654199998</v>
      </c>
      <c r="D46">
        <v>-24500234.825027</v>
      </c>
      <c r="E46">
        <v>365.24245819100003</v>
      </c>
      <c r="F46">
        <v>-24500143.701221999</v>
      </c>
      <c r="G46">
        <v>365.24224076399997</v>
      </c>
      <c r="H46">
        <v>-24500052.204224002</v>
      </c>
      <c r="I46">
        <v>365.24192190899998</v>
      </c>
    </row>
    <row r="47" spans="1:9" ht="15.75" x14ac:dyDescent="0.5">
      <c r="A47">
        <v>-66575</v>
      </c>
      <c r="B47">
        <v>-22594856.817152999</v>
      </c>
      <c r="C47">
        <v>365.24196517799999</v>
      </c>
      <c r="D47">
        <v>-22594765.431713998</v>
      </c>
      <c r="E47">
        <v>365.24218880400002</v>
      </c>
      <c r="F47">
        <v>-22594674.057714</v>
      </c>
      <c r="G47">
        <v>365.24250007400002</v>
      </c>
      <c r="H47">
        <v>-22594584.591931</v>
      </c>
      <c r="I47">
        <v>365.24218875899999</v>
      </c>
    </row>
    <row r="48" spans="1:9" ht="15.75" x14ac:dyDescent="0.5">
      <c r="A48">
        <v>-61358</v>
      </c>
      <c r="B48">
        <v>-20689389.066585001</v>
      </c>
      <c r="C48">
        <v>365.24219756899998</v>
      </c>
      <c r="D48">
        <v>-20689297.827551</v>
      </c>
      <c r="E48">
        <v>365.24191930500001</v>
      </c>
      <c r="F48">
        <v>-20689204.499088999</v>
      </c>
      <c r="G48">
        <v>365.24220722899997</v>
      </c>
      <c r="H48">
        <v>-20689115.206110001</v>
      </c>
      <c r="I48">
        <v>365.24245567200001</v>
      </c>
    </row>
    <row r="49" spans="1:9" ht="15.75" x14ac:dyDescent="0.5">
      <c r="A49">
        <v>-56141</v>
      </c>
      <c r="B49">
        <v>-18783919.714777</v>
      </c>
      <c r="C49">
        <v>365.24243606300001</v>
      </c>
      <c r="D49">
        <v>-18783830.225350998</v>
      </c>
      <c r="E49">
        <v>365.24218802500002</v>
      </c>
      <c r="F49">
        <v>-18783736.897247002</v>
      </c>
      <c r="G49">
        <v>365.24189919600002</v>
      </c>
      <c r="H49">
        <v>-18783645.822949</v>
      </c>
      <c r="I49">
        <v>365.24218795100001</v>
      </c>
    </row>
    <row r="50" spans="1:9" ht="15.75" x14ac:dyDescent="0.5">
      <c r="A50">
        <v>-50924</v>
      </c>
      <c r="B50">
        <v>-16878450.482438002</v>
      </c>
      <c r="C50">
        <v>365.24215156600002</v>
      </c>
      <c r="D50">
        <v>-16878360.835972998</v>
      </c>
      <c r="E50">
        <v>365.242457468</v>
      </c>
      <c r="F50">
        <v>-16878269.477077998</v>
      </c>
      <c r="G50">
        <v>365.24214369800001</v>
      </c>
      <c r="H50">
        <v>-16878178.215477999</v>
      </c>
      <c r="I50">
        <v>365.24192116400002</v>
      </c>
    </row>
    <row r="51" spans="1:9" ht="15.75" x14ac:dyDescent="0.5">
      <c r="A51">
        <v>-45707</v>
      </c>
      <c r="B51">
        <v>-14972983.075384</v>
      </c>
      <c r="C51">
        <v>365.24188472100002</v>
      </c>
      <c r="D51">
        <v>-14972891.442472</v>
      </c>
      <c r="E51">
        <v>365.242189618</v>
      </c>
      <c r="F51">
        <v>-14972800.308182999</v>
      </c>
      <c r="G51">
        <v>365.242422089</v>
      </c>
      <c r="H51">
        <v>-14972710.602658</v>
      </c>
      <c r="I51">
        <v>365.24218968899999</v>
      </c>
    </row>
    <row r="52" spans="1:9" ht="15.75" x14ac:dyDescent="0.5">
      <c r="A52">
        <v>-40490</v>
      </c>
      <c r="B52">
        <v>-13067515.600144001</v>
      </c>
      <c r="C52">
        <v>365.24217641000001</v>
      </c>
      <c r="D52">
        <v>-13067423.830893001</v>
      </c>
      <c r="E52">
        <v>365.24192111799999</v>
      </c>
      <c r="F52">
        <v>-13067331.032423001</v>
      </c>
      <c r="G52">
        <v>365.24218114799999</v>
      </c>
      <c r="H52">
        <v>-13067241.209341001</v>
      </c>
      <c r="I52">
        <v>365.24245741999999</v>
      </c>
    </row>
    <row r="53" spans="1:9" ht="15.75" x14ac:dyDescent="0.5">
      <c r="A53">
        <v>-35273</v>
      </c>
      <c r="B53">
        <v>-11162046.197115</v>
      </c>
      <c r="C53">
        <v>365.24247355799997</v>
      </c>
      <c r="D53">
        <v>-11161956.220066</v>
      </c>
      <c r="E53">
        <v>365.24218931000001</v>
      </c>
      <c r="F53">
        <v>-11161863.394554</v>
      </c>
      <c r="G53">
        <v>365.24193779799998</v>
      </c>
      <c r="H53">
        <v>-11161771.817678001</v>
      </c>
      <c r="I53">
        <v>365.24218925100001</v>
      </c>
    </row>
    <row r="54" spans="1:9" ht="15.75" x14ac:dyDescent="0.5">
      <c r="A54">
        <v>-30056</v>
      </c>
      <c r="B54">
        <v>-9256576.6724539995</v>
      </c>
      <c r="C54">
        <v>365.24222012199999</v>
      </c>
      <c r="D54">
        <v>-9256486.8275090009</v>
      </c>
      <c r="E54">
        <v>365.24245745500002</v>
      </c>
      <c r="F54">
        <v>-9256395.6671270002</v>
      </c>
      <c r="G54">
        <v>365.24221404500003</v>
      </c>
      <c r="H54">
        <v>-9256304.2067760006</v>
      </c>
      <c r="I54">
        <v>365.24192114900001</v>
      </c>
    </row>
    <row r="55" spans="1:9" ht="15.75" x14ac:dyDescent="0.5">
      <c r="A55">
        <v>-24839</v>
      </c>
      <c r="B55">
        <v>-7351108.9247150002</v>
      </c>
      <c r="C55">
        <v>365.241937721</v>
      </c>
      <c r="D55">
        <v>-7351017.4365140004</v>
      </c>
      <c r="E55">
        <v>365.24218883999998</v>
      </c>
      <c r="F55">
        <v>-7350926.1620389996</v>
      </c>
      <c r="G55">
        <v>365.24247347400001</v>
      </c>
      <c r="H55">
        <v>-7350836.596717</v>
      </c>
      <c r="I55">
        <v>365.24218886800003</v>
      </c>
    </row>
    <row r="56" spans="1:9" ht="15.75" x14ac:dyDescent="0.5">
      <c r="A56">
        <v>-19622</v>
      </c>
      <c r="B56">
        <v>-5445641.3121400001</v>
      </c>
      <c r="C56">
        <v>365.24217259900001</v>
      </c>
      <c r="D56">
        <v>-5445549.8285299996</v>
      </c>
      <c r="E56">
        <v>365.24192069200001</v>
      </c>
      <c r="F56">
        <v>-5445456.744527</v>
      </c>
      <c r="G56">
        <v>365.24217997699998</v>
      </c>
      <c r="H56">
        <v>-5445367.2070559999</v>
      </c>
      <c r="I56">
        <v>365.24245700799997</v>
      </c>
    </row>
    <row r="57" spans="1:9" ht="15.75" x14ac:dyDescent="0.5">
      <c r="A57">
        <v>-14405</v>
      </c>
      <c r="B57">
        <v>-3540172.0816790001</v>
      </c>
      <c r="C57">
        <v>365.24241445400003</v>
      </c>
      <c r="D57">
        <v>-3540082.2176589998</v>
      </c>
      <c r="E57">
        <v>365.24218970700002</v>
      </c>
      <c r="F57">
        <v>-3539989.2755610002</v>
      </c>
      <c r="G57">
        <v>365.24187684899999</v>
      </c>
      <c r="H57">
        <v>-3539897.8152780002</v>
      </c>
      <c r="I57">
        <v>365.24218968000002</v>
      </c>
    </row>
    <row r="58" spans="1:9" ht="15.75" x14ac:dyDescent="0.5">
      <c r="A58">
        <v>-9188</v>
      </c>
      <c r="B58">
        <v>-1634702.950349</v>
      </c>
      <c r="C58">
        <v>365.24213536600001</v>
      </c>
      <c r="D58">
        <v>-1634612.8222389999</v>
      </c>
      <c r="E58">
        <v>365.242457962</v>
      </c>
      <c r="F58">
        <v>-1634521.9451319999</v>
      </c>
      <c r="G58">
        <v>365.24213183299997</v>
      </c>
      <c r="H58">
        <v>-1634430.201357</v>
      </c>
      <c r="I58">
        <v>365.24192167199999</v>
      </c>
    </row>
    <row r="59" spans="1:9" ht="15.75" x14ac:dyDescent="0.5">
      <c r="A59">
        <v>-3971</v>
      </c>
      <c r="B59">
        <v>270764.40152299998</v>
      </c>
      <c r="C59">
        <v>365.24188067</v>
      </c>
      <c r="D59">
        <v>270856.56926199998</v>
      </c>
      <c r="E59">
        <v>365.24218838600001</v>
      </c>
      <c r="F59">
        <v>270947.18451799999</v>
      </c>
      <c r="G59">
        <v>365.242418198</v>
      </c>
      <c r="H59">
        <v>271037.40904200001</v>
      </c>
      <c r="I59">
        <v>365.24218834700002</v>
      </c>
    </row>
    <row r="60" spans="1:9" ht="15.75" x14ac:dyDescent="0.5">
      <c r="A60">
        <v>1246</v>
      </c>
      <c r="B60">
        <v>2176231.8889890001</v>
      </c>
      <c r="C60">
        <v>365.24218409899999</v>
      </c>
      <c r="D60">
        <v>2176324.1714690002</v>
      </c>
      <c r="E60">
        <v>365.24191904100002</v>
      </c>
      <c r="F60">
        <v>2176416.4567860002</v>
      </c>
      <c r="G60">
        <v>365.24218413199998</v>
      </c>
      <c r="H60">
        <v>2176506.7929420001</v>
      </c>
      <c r="I60">
        <v>365.24245541200003</v>
      </c>
    </row>
    <row r="61" spans="1:9" ht="15.75" x14ac:dyDescent="0.5">
      <c r="A61">
        <v>6463</v>
      </c>
      <c r="B61">
        <v>4081701.346477</v>
      </c>
      <c r="C61">
        <v>365.242485827</v>
      </c>
      <c r="D61">
        <v>4081791.7731240001</v>
      </c>
      <c r="E61">
        <v>365.24218809799999</v>
      </c>
      <c r="F61">
        <v>4081884.1348489998</v>
      </c>
      <c r="G61">
        <v>365.241950411</v>
      </c>
      <c r="H61">
        <v>4081976.1755300001</v>
      </c>
      <c r="I61">
        <v>365.242188005</v>
      </c>
    </row>
    <row r="62" spans="1:9" ht="15.75" x14ac:dyDescent="0.5">
      <c r="A62">
        <v>11680</v>
      </c>
      <c r="B62">
        <v>5987170.9437809996</v>
      </c>
      <c r="C62">
        <v>365.24223631400002</v>
      </c>
      <c r="D62">
        <v>5987261.1633249996</v>
      </c>
      <c r="E62">
        <v>365.24245768899999</v>
      </c>
      <c r="F62">
        <v>5987351.9490329996</v>
      </c>
      <c r="G62">
        <v>365.24223377099997</v>
      </c>
      <c r="H62">
        <v>5987443.7837990001</v>
      </c>
      <c r="I62">
        <v>365.24192139100001</v>
      </c>
    </row>
    <row r="63" spans="1:9" ht="15.75" x14ac:dyDescent="0.5">
      <c r="A63">
        <v>16897</v>
      </c>
      <c r="B63">
        <v>7892638.7944329996</v>
      </c>
      <c r="C63">
        <v>365.24196120400001</v>
      </c>
      <c r="D63">
        <v>7892730.5576980002</v>
      </c>
      <c r="E63">
        <v>365.24218970599998</v>
      </c>
      <c r="F63">
        <v>7892821.5656040004</v>
      </c>
      <c r="G63">
        <v>365.24249627099999</v>
      </c>
      <c r="H63">
        <v>7892911.3975109998</v>
      </c>
      <c r="I63">
        <v>365.24218977499999</v>
      </c>
    </row>
    <row r="64" spans="1:9" ht="15.75" x14ac:dyDescent="0.5">
      <c r="A64">
        <v>22114</v>
      </c>
      <c r="B64">
        <v>9798106.5449710004</v>
      </c>
      <c r="C64">
        <v>365.24220124800001</v>
      </c>
      <c r="D64">
        <v>9798198.1691069994</v>
      </c>
      <c r="E64">
        <v>365.24192097000002</v>
      </c>
      <c r="F64">
        <v>9798291.1126569994</v>
      </c>
      <c r="G64">
        <v>365.242207302</v>
      </c>
      <c r="H64">
        <v>9798380.7906589992</v>
      </c>
      <c r="I64">
        <v>365.24245727800002</v>
      </c>
    </row>
    <row r="65" spans="1:9" ht="15.75" x14ac:dyDescent="0.5">
      <c r="A65">
        <v>27331</v>
      </c>
      <c r="B65">
        <v>11703575.930065</v>
      </c>
      <c r="C65">
        <v>365.242444783</v>
      </c>
      <c r="D65">
        <v>11703665.778957</v>
      </c>
      <c r="E65">
        <v>365.24218912600003</v>
      </c>
      <c r="F65">
        <v>11703758.736563999</v>
      </c>
      <c r="G65">
        <v>365.24190811599999</v>
      </c>
      <c r="H65">
        <v>11703850.181348</v>
      </c>
      <c r="I65">
        <v>365.24218906300001</v>
      </c>
    </row>
    <row r="66" spans="1:9" ht="15.75" x14ac:dyDescent="0.5">
      <c r="A66">
        <v>32548</v>
      </c>
      <c r="B66">
        <v>13609045.221084001</v>
      </c>
      <c r="C66">
        <v>365.24216571300002</v>
      </c>
      <c r="D66">
        <v>13609135.171046</v>
      </c>
      <c r="E66">
        <v>365.242457479</v>
      </c>
      <c r="F66">
        <v>13609226.226353999</v>
      </c>
      <c r="G66">
        <v>365.242160609</v>
      </c>
      <c r="H66">
        <v>13609317.791739</v>
      </c>
      <c r="I66">
        <v>365.24192117699999</v>
      </c>
    </row>
  </sheetData>
  <pageMargins left="0.7" right="0.7" top="0.75" bottom="0.75" header="0.3" footer="0.3"/>
  <ignoredErrors>
    <ignoredError sqref="A1:I1 A66 A2 A3 A4 A5 A6 A7 A8 A9 A10 A11 A12 A13 A14 A15 A16 A17 A18 A19 A20 A21 A22 A23 A24 A25 A26 A27 A28 A29 A30 A31 A32 A33 A34 A35 A36 A37 A38 A39 A40 A41 A42 A43 A44 A45 A46 A47 A48 A49 A50 A51 A52 A53 A54 A55 A56 A57 A58 A59 A60 A61 A62 A63 A64 A6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Views>
    <sheetView workbookViewId="0"/>
  </sheetViews>
  <sheetFormatPr defaultRowHeight="14.25" x14ac:dyDescent="0.5"/>
  <sheetData>
    <row r="1" spans="1:7" ht="15.75" x14ac:dyDescent="0.5">
      <c r="A1" t="s">
        <v>42</v>
      </c>
      <c r="B1" t="s">
        <v>51</v>
      </c>
      <c r="C1" t="s">
        <v>52</v>
      </c>
      <c r="D1" t="s">
        <v>53</v>
      </c>
      <c r="E1" t="s">
        <v>54</v>
      </c>
      <c r="F1" t="s">
        <v>55</v>
      </c>
      <c r="G1" t="s">
        <v>56</v>
      </c>
    </row>
    <row r="2" spans="1:7" ht="15.75" x14ac:dyDescent="0.5">
      <c r="A2">
        <v>-301340</v>
      </c>
      <c r="B2">
        <v>-108340848.820334</v>
      </c>
      <c r="C2">
        <v>0.98467899999999997</v>
      </c>
      <c r="D2">
        <v>365.25969237100003</v>
      </c>
      <c r="E2">
        <v>-108341031.45017999</v>
      </c>
      <c r="F2">
        <v>1.0153209999999999</v>
      </c>
      <c r="G2">
        <v>365.25969235600002</v>
      </c>
    </row>
    <row r="3" spans="1:7" ht="15.75" x14ac:dyDescent="0.5">
      <c r="A3">
        <v>-296123</v>
      </c>
      <c r="B3">
        <v>-106435289.00539</v>
      </c>
      <c r="C3">
        <v>0.98467903999999995</v>
      </c>
      <c r="D3">
        <v>365.259692401</v>
      </c>
      <c r="E3">
        <v>-106435471.635236</v>
      </c>
      <c r="F3">
        <v>1.0153209599999999</v>
      </c>
      <c r="G3">
        <v>365.259692401</v>
      </c>
    </row>
    <row r="4" spans="1:7" ht="15.75" x14ac:dyDescent="0.5">
      <c r="A4">
        <v>-290906</v>
      </c>
      <c r="B4">
        <v>-104530094.449486</v>
      </c>
      <c r="C4">
        <v>0.98467894</v>
      </c>
      <c r="D4">
        <v>365.259692401</v>
      </c>
      <c r="E4">
        <v>-104529911.81964</v>
      </c>
      <c r="F4">
        <v>1.01532106</v>
      </c>
      <c r="G4">
        <v>365.259692401</v>
      </c>
    </row>
    <row r="5" spans="1:7" ht="15.75" x14ac:dyDescent="0.5">
      <c r="A5">
        <v>-285689</v>
      </c>
      <c r="B5">
        <v>-102624534.63585199</v>
      </c>
      <c r="C5">
        <v>0.98467861999999995</v>
      </c>
      <c r="D5">
        <v>365.25969186399999</v>
      </c>
      <c r="E5">
        <v>-102624352.006006</v>
      </c>
      <c r="F5">
        <v>1.0153213800000001</v>
      </c>
      <c r="G5">
        <v>365.25969183400002</v>
      </c>
    </row>
    <row r="6" spans="1:7" ht="15.75" x14ac:dyDescent="0.5">
      <c r="A6">
        <v>-280472</v>
      </c>
      <c r="B6">
        <v>-100718974.822264</v>
      </c>
      <c r="C6">
        <v>0.98467917000000005</v>
      </c>
      <c r="D6">
        <v>365.259692535</v>
      </c>
      <c r="E6">
        <v>-100719157.45211001</v>
      </c>
      <c r="F6">
        <v>1.0153208300000001</v>
      </c>
      <c r="G6">
        <v>365.25969250499998</v>
      </c>
    </row>
    <row r="7" spans="1:7" ht="15.75" x14ac:dyDescent="0.5">
      <c r="A7">
        <v>-275255</v>
      </c>
      <c r="B7">
        <v>-98813415.005197003</v>
      </c>
      <c r="C7">
        <v>0.98467934000000001</v>
      </c>
      <c r="D7">
        <v>365.25969263899998</v>
      </c>
      <c r="E7">
        <v>-98813597.635042995</v>
      </c>
      <c r="F7">
        <v>1.01532066</v>
      </c>
      <c r="G7">
        <v>365.259692669</v>
      </c>
    </row>
    <row r="8" spans="1:7" ht="15.75" x14ac:dyDescent="0.5">
      <c r="A8">
        <v>-270038</v>
      </c>
      <c r="B8">
        <v>-96908220.450627998</v>
      </c>
      <c r="C8">
        <v>0.98467899999999997</v>
      </c>
      <c r="D8">
        <v>365.25969196900002</v>
      </c>
      <c r="E8">
        <v>-96908037.820782006</v>
      </c>
      <c r="F8">
        <v>1.0153209999999999</v>
      </c>
      <c r="G8">
        <v>365.25969196900002</v>
      </c>
    </row>
    <row r="9" spans="1:7" ht="15.75" x14ac:dyDescent="0.5">
      <c r="A9">
        <v>-264821</v>
      </c>
      <c r="B9">
        <v>-95002660.635716006</v>
      </c>
      <c r="C9">
        <v>0.98467954999999996</v>
      </c>
      <c r="D9">
        <v>365.25969284799999</v>
      </c>
      <c r="E9">
        <v>-95002478.005869001</v>
      </c>
      <c r="F9">
        <v>1.0153204600000001</v>
      </c>
      <c r="G9">
        <v>365.25969284799999</v>
      </c>
    </row>
    <row r="10" spans="1:7" ht="15.75" x14ac:dyDescent="0.5">
      <c r="A10">
        <v>-259604</v>
      </c>
      <c r="B10">
        <v>-93097100.817929998</v>
      </c>
      <c r="C10">
        <v>0.98467925000000001</v>
      </c>
      <c r="D10">
        <v>365.25969256500002</v>
      </c>
      <c r="E10">
        <v>-93097283.447776005</v>
      </c>
      <c r="F10">
        <v>1.0153207500000001</v>
      </c>
      <c r="G10">
        <v>365.25969256500002</v>
      </c>
    </row>
    <row r="11" spans="1:7" ht="15.75" x14ac:dyDescent="0.5">
      <c r="A11">
        <v>-254387</v>
      </c>
      <c r="B11">
        <v>-91191541.004576996</v>
      </c>
      <c r="C11">
        <v>0.98467857000000003</v>
      </c>
      <c r="D11">
        <v>365.25969176000001</v>
      </c>
      <c r="E11">
        <v>-91191723.634423003</v>
      </c>
      <c r="F11">
        <v>1.01532143</v>
      </c>
      <c r="G11">
        <v>365.25969177500002</v>
      </c>
    </row>
    <row r="12" spans="1:7" ht="15.75" x14ac:dyDescent="0.5">
      <c r="A12">
        <v>-249170</v>
      </c>
      <c r="B12">
        <v>-89286346.450882003</v>
      </c>
      <c r="C12">
        <v>0.98467892000000001</v>
      </c>
      <c r="D12">
        <v>365.259692401</v>
      </c>
      <c r="E12">
        <v>-89286163.821035996</v>
      </c>
      <c r="F12">
        <v>1.0153210800000001</v>
      </c>
      <c r="G12">
        <v>365.259692401</v>
      </c>
    </row>
    <row r="13" spans="1:7" ht="15.75" x14ac:dyDescent="0.5">
      <c r="A13">
        <v>-243953</v>
      </c>
      <c r="B13">
        <v>-87380786.635284007</v>
      </c>
      <c r="C13">
        <v>0.98467901000000002</v>
      </c>
      <c r="D13">
        <v>365.25969238599998</v>
      </c>
      <c r="E13">
        <v>-87380604.005438</v>
      </c>
      <c r="F13">
        <v>1.01532099</v>
      </c>
      <c r="G13">
        <v>365.25969238599998</v>
      </c>
    </row>
    <row r="14" spans="1:7" ht="15.75" x14ac:dyDescent="0.5">
      <c r="A14">
        <v>-238736</v>
      </c>
      <c r="B14">
        <v>-85475226.820550993</v>
      </c>
      <c r="C14">
        <v>0.98467899999999997</v>
      </c>
      <c r="D14">
        <v>365.259692341</v>
      </c>
      <c r="E14">
        <v>-85475409.450397</v>
      </c>
      <c r="F14">
        <v>1.0153209999999999</v>
      </c>
      <c r="G14">
        <v>365.25969235600002</v>
      </c>
    </row>
    <row r="15" spans="1:7" ht="15.75" x14ac:dyDescent="0.5">
      <c r="A15">
        <v>-233519</v>
      </c>
      <c r="B15">
        <v>-83569667.005409002</v>
      </c>
      <c r="C15">
        <v>0.98467897000000004</v>
      </c>
      <c r="D15">
        <v>365.25969231099998</v>
      </c>
      <c r="E15">
        <v>-83569849.635256007</v>
      </c>
      <c r="F15">
        <v>1.01532103</v>
      </c>
      <c r="G15">
        <v>365.25969231099998</v>
      </c>
    </row>
    <row r="16" spans="1:7" ht="15.75" x14ac:dyDescent="0.5">
      <c r="A16">
        <v>-228302</v>
      </c>
      <c r="B16">
        <v>-81664472.451122999</v>
      </c>
      <c r="C16">
        <v>0.98467897000000004</v>
      </c>
      <c r="D16">
        <v>365.25969214700001</v>
      </c>
      <c r="E16">
        <v>-81664289.821276993</v>
      </c>
      <c r="F16">
        <v>1.01532103</v>
      </c>
      <c r="G16">
        <v>365.25969214700001</v>
      </c>
    </row>
    <row r="17" spans="1:7" ht="15.75" x14ac:dyDescent="0.5">
      <c r="A17">
        <v>-223085</v>
      </c>
      <c r="B17">
        <v>-79758912.635585994</v>
      </c>
      <c r="C17">
        <v>0.98467939999999998</v>
      </c>
      <c r="D17">
        <v>365.25969274300002</v>
      </c>
      <c r="E17">
        <v>-79758730.005739003</v>
      </c>
      <c r="F17">
        <v>1.0153205999999999</v>
      </c>
      <c r="G17">
        <v>365.25969277299998</v>
      </c>
    </row>
    <row r="18" spans="1:7" ht="15.75" x14ac:dyDescent="0.5">
      <c r="A18">
        <v>-217868</v>
      </c>
      <c r="B18">
        <v>-77853352.819022</v>
      </c>
      <c r="C18">
        <v>0.98467908999999998</v>
      </c>
      <c r="D18">
        <v>365.259692341</v>
      </c>
      <c r="E18">
        <v>-77853535.448869005</v>
      </c>
      <c r="F18">
        <v>1.01532091</v>
      </c>
      <c r="G18">
        <v>365.259692341</v>
      </c>
    </row>
    <row r="19" spans="1:7" ht="15.75" x14ac:dyDescent="0.5">
      <c r="A19">
        <v>-212651</v>
      </c>
      <c r="B19">
        <v>-75947793.005354002</v>
      </c>
      <c r="C19">
        <v>0.98467884000000006</v>
      </c>
      <c r="D19">
        <v>365.25969210300002</v>
      </c>
      <c r="E19">
        <v>-75947975.635199994</v>
      </c>
      <c r="F19">
        <v>1.0153211600000001</v>
      </c>
      <c r="G19">
        <v>365.25969210300002</v>
      </c>
    </row>
    <row r="20" spans="1:7" ht="15.75" x14ac:dyDescent="0.5">
      <c r="A20">
        <v>-207434</v>
      </c>
      <c r="B20">
        <v>-74042598.449971005</v>
      </c>
      <c r="C20">
        <v>0.98467897000000004</v>
      </c>
      <c r="D20">
        <v>365.25969247500001</v>
      </c>
      <c r="E20">
        <v>-74042415.820124999</v>
      </c>
      <c r="F20">
        <v>1.01532103</v>
      </c>
      <c r="G20">
        <v>365.25969247500001</v>
      </c>
    </row>
    <row r="21" spans="1:7" ht="15.75" x14ac:dyDescent="0.5">
      <c r="A21">
        <v>-202217</v>
      </c>
      <c r="B21">
        <v>-72137038.635980994</v>
      </c>
      <c r="C21">
        <v>0.98467866999999998</v>
      </c>
      <c r="D21">
        <v>365.25969182</v>
      </c>
      <c r="E21">
        <v>-72136856.006135002</v>
      </c>
      <c r="F21">
        <v>1.0153213299999999</v>
      </c>
      <c r="G21">
        <v>365.25969182</v>
      </c>
    </row>
    <row r="22" spans="1:7" ht="15.75" x14ac:dyDescent="0.5">
      <c r="A22">
        <v>-197000</v>
      </c>
      <c r="B22">
        <v>-70231478.822740003</v>
      </c>
      <c r="C22">
        <v>0.98467932000000002</v>
      </c>
      <c r="D22">
        <v>365.259692535</v>
      </c>
      <c r="E22">
        <v>-70231661.452586994</v>
      </c>
      <c r="F22">
        <v>1.0153206800000001</v>
      </c>
      <c r="G22">
        <v>365.25969251999999</v>
      </c>
    </row>
    <row r="23" spans="1:7" ht="15.75" x14ac:dyDescent="0.5">
      <c r="A23">
        <v>-191783</v>
      </c>
      <c r="B23">
        <v>-68325919.004453003</v>
      </c>
      <c r="C23">
        <v>0.98467974999999996</v>
      </c>
      <c r="D23">
        <v>365.25969307100002</v>
      </c>
      <c r="E23">
        <v>-68326101.634299994</v>
      </c>
      <c r="F23">
        <v>1.01532025</v>
      </c>
      <c r="G23">
        <v>365.25969308600003</v>
      </c>
    </row>
    <row r="24" spans="1:7" ht="15.75" x14ac:dyDescent="0.5">
      <c r="A24">
        <v>-186566</v>
      </c>
      <c r="B24">
        <v>-66420724.448183</v>
      </c>
      <c r="C24">
        <v>0.98467892000000001</v>
      </c>
      <c r="D24">
        <v>365.259691976</v>
      </c>
      <c r="E24">
        <v>-66420541.818337001</v>
      </c>
      <c r="F24">
        <v>1.0153210800000001</v>
      </c>
      <c r="G24">
        <v>365.25969198299998</v>
      </c>
    </row>
    <row r="25" spans="1:7" ht="15.75" x14ac:dyDescent="0.5">
      <c r="A25">
        <v>-181349</v>
      </c>
      <c r="B25">
        <v>-64515164.635266997</v>
      </c>
      <c r="C25">
        <v>0.98467884000000006</v>
      </c>
      <c r="D25">
        <v>365.25969216999999</v>
      </c>
      <c r="E25">
        <v>-64514982.005420998</v>
      </c>
      <c r="F25">
        <v>1.0153211600000001</v>
      </c>
      <c r="G25">
        <v>365.25969216999999</v>
      </c>
    </row>
    <row r="26" spans="1:7" ht="15.75" x14ac:dyDescent="0.5">
      <c r="A26">
        <v>-176132</v>
      </c>
      <c r="B26">
        <v>-62609604.820115</v>
      </c>
      <c r="C26">
        <v>0.98467901000000002</v>
      </c>
      <c r="D26">
        <v>365.25969242299999</v>
      </c>
      <c r="E26">
        <v>-62609787.449960999</v>
      </c>
      <c r="F26">
        <v>1.01532099</v>
      </c>
      <c r="G26">
        <v>365.25969242299999</v>
      </c>
    </row>
    <row r="27" spans="1:7" ht="15.75" x14ac:dyDescent="0.5">
      <c r="A27">
        <v>-170915</v>
      </c>
      <c r="B27">
        <v>-60704045.005392998</v>
      </c>
      <c r="C27">
        <v>0.98467894</v>
      </c>
      <c r="D27">
        <v>365.25969225199998</v>
      </c>
      <c r="E27">
        <v>-60704227.635238998</v>
      </c>
      <c r="F27">
        <v>1.01532106</v>
      </c>
      <c r="G27">
        <v>365.25969225199998</v>
      </c>
    </row>
    <row r="28" spans="1:7" ht="15.75" x14ac:dyDescent="0.5">
      <c r="A28">
        <v>-165698</v>
      </c>
      <c r="B28">
        <v>-58798850.449989997</v>
      </c>
      <c r="C28">
        <v>0.98467899999999997</v>
      </c>
      <c r="D28">
        <v>365.25969242999997</v>
      </c>
      <c r="E28">
        <v>-58798667.820143998</v>
      </c>
      <c r="F28">
        <v>1.0153209999999999</v>
      </c>
      <c r="G28">
        <v>365.25969242299999</v>
      </c>
    </row>
    <row r="29" spans="1:7" ht="15.75" x14ac:dyDescent="0.5">
      <c r="A29">
        <v>-160481</v>
      </c>
      <c r="B29">
        <v>-56893290.63538</v>
      </c>
      <c r="C29">
        <v>0.98467883</v>
      </c>
      <c r="D29">
        <v>365.25969211799998</v>
      </c>
      <c r="E29">
        <v>-56893108.005534001</v>
      </c>
      <c r="F29">
        <v>1.01532117</v>
      </c>
      <c r="G29">
        <v>365.25969211799998</v>
      </c>
    </row>
    <row r="30" spans="1:7" ht="15.75" x14ac:dyDescent="0.5">
      <c r="A30">
        <v>-155264</v>
      </c>
      <c r="B30">
        <v>-54987730.821027003</v>
      </c>
      <c r="C30">
        <v>0.98467903000000001</v>
      </c>
      <c r="D30">
        <v>365.259692438</v>
      </c>
      <c r="E30">
        <v>-54987913.450873002</v>
      </c>
      <c r="F30">
        <v>1.0153209700000001</v>
      </c>
      <c r="G30">
        <v>365.25969244499998</v>
      </c>
    </row>
    <row r="31" spans="1:7" ht="15.75" x14ac:dyDescent="0.5">
      <c r="A31">
        <v>-150047</v>
      </c>
      <c r="B31">
        <v>-53082171.005409002</v>
      </c>
      <c r="C31">
        <v>0.98467895000000005</v>
      </c>
      <c r="D31">
        <v>365.25969226699999</v>
      </c>
      <c r="E31">
        <v>-53082353.635255001</v>
      </c>
      <c r="F31">
        <v>1.0153210500000001</v>
      </c>
      <c r="G31">
        <v>365.25969225900002</v>
      </c>
    </row>
    <row r="32" spans="1:7" ht="15.75" x14ac:dyDescent="0.5">
      <c r="A32">
        <v>-144830</v>
      </c>
      <c r="B32">
        <v>-51176976.451972</v>
      </c>
      <c r="C32">
        <v>0.98467894</v>
      </c>
      <c r="D32">
        <v>365.25969196900002</v>
      </c>
      <c r="E32">
        <v>-51176793.822126001</v>
      </c>
      <c r="F32">
        <v>1.01532106</v>
      </c>
      <c r="G32">
        <v>365.25969196099999</v>
      </c>
    </row>
    <row r="33" spans="1:7" ht="15.75" x14ac:dyDescent="0.5">
      <c r="A33">
        <v>-139613</v>
      </c>
      <c r="B33">
        <v>-49271416.636171997</v>
      </c>
      <c r="C33">
        <v>0.98467976000000002</v>
      </c>
      <c r="D33">
        <v>365.25969307100002</v>
      </c>
      <c r="E33">
        <v>-49271234.006324999</v>
      </c>
      <c r="F33">
        <v>1.0153202400000001</v>
      </c>
      <c r="G33">
        <v>365.25969307100002</v>
      </c>
    </row>
    <row r="34" spans="1:7" ht="15.75" x14ac:dyDescent="0.5">
      <c r="A34">
        <v>-134396</v>
      </c>
      <c r="B34">
        <v>-47365856.817711003</v>
      </c>
      <c r="C34">
        <v>0.98467934999999995</v>
      </c>
      <c r="D34">
        <v>365.25969256500002</v>
      </c>
      <c r="E34">
        <v>-47366039.447557002</v>
      </c>
      <c r="F34">
        <v>1.01532065</v>
      </c>
      <c r="G34">
        <v>365.25969257200001</v>
      </c>
    </row>
    <row r="35" spans="1:7" ht="15.75" x14ac:dyDescent="0.5">
      <c r="A35">
        <v>-129179</v>
      </c>
      <c r="B35">
        <v>-45460297.004496999</v>
      </c>
      <c r="C35">
        <v>0.98467861000000001</v>
      </c>
      <c r="D35">
        <v>365.25969175199998</v>
      </c>
      <c r="E35">
        <v>-45460479.634342998</v>
      </c>
      <c r="F35">
        <v>1.01532139</v>
      </c>
      <c r="G35">
        <v>365.25969176000001</v>
      </c>
    </row>
    <row r="36" spans="1:7" ht="15.75" x14ac:dyDescent="0.5">
      <c r="A36">
        <v>-123962</v>
      </c>
      <c r="B36">
        <v>-43555102.450568996</v>
      </c>
      <c r="C36">
        <v>0.98467894</v>
      </c>
      <c r="D36">
        <v>365.25969245300001</v>
      </c>
      <c r="E36">
        <v>-43554919.820722997</v>
      </c>
      <c r="F36">
        <v>1.01532106</v>
      </c>
      <c r="G36">
        <v>365.259692438</v>
      </c>
    </row>
    <row r="37" spans="1:7" ht="15.75" x14ac:dyDescent="0.5">
      <c r="A37">
        <v>-118745</v>
      </c>
      <c r="B37">
        <v>-41649542.635259002</v>
      </c>
      <c r="C37">
        <v>0.98467890000000002</v>
      </c>
      <c r="D37">
        <v>365.25969220000002</v>
      </c>
      <c r="E37">
        <v>-41649360.005413003</v>
      </c>
      <c r="F37">
        <v>1.0153211</v>
      </c>
      <c r="G37">
        <v>365.25969221399998</v>
      </c>
    </row>
    <row r="38" spans="1:7" ht="15.75" x14ac:dyDescent="0.5">
      <c r="A38">
        <v>-113528</v>
      </c>
      <c r="B38">
        <v>-39743982.821259998</v>
      </c>
      <c r="C38">
        <v>0.98467903000000001</v>
      </c>
      <c r="D38">
        <v>365.259692304</v>
      </c>
      <c r="E38">
        <v>-39744165.451107003</v>
      </c>
      <c r="F38">
        <v>1.0153209700000001</v>
      </c>
      <c r="G38">
        <v>365.259692304</v>
      </c>
    </row>
    <row r="39" spans="1:7" ht="15.75" x14ac:dyDescent="0.5">
      <c r="A39">
        <v>-108311</v>
      </c>
      <c r="B39">
        <v>-37838423.005287997</v>
      </c>
      <c r="C39">
        <v>0.98467925000000001</v>
      </c>
      <c r="D39">
        <v>365.25969260199997</v>
      </c>
      <c r="E39">
        <v>-37838605.635133997</v>
      </c>
      <c r="F39">
        <v>1.0153207500000001</v>
      </c>
      <c r="G39">
        <v>365.25969260199997</v>
      </c>
    </row>
    <row r="40" spans="1:7" ht="15.75" x14ac:dyDescent="0.5">
      <c r="A40">
        <v>-103094</v>
      </c>
      <c r="B40">
        <v>-35933228.449859001</v>
      </c>
      <c r="C40">
        <v>0.98467899999999997</v>
      </c>
      <c r="D40">
        <v>365.25969217699998</v>
      </c>
      <c r="E40">
        <v>-35933045.820013002</v>
      </c>
      <c r="F40">
        <v>1.0153209999999999</v>
      </c>
      <c r="G40">
        <v>365.25969216999999</v>
      </c>
    </row>
    <row r="41" spans="1:7" ht="15.75" x14ac:dyDescent="0.5">
      <c r="A41">
        <v>-97877</v>
      </c>
      <c r="B41">
        <v>-34027668.635274999</v>
      </c>
      <c r="C41">
        <v>0.98467910000000003</v>
      </c>
      <c r="D41">
        <v>365.25969245300001</v>
      </c>
      <c r="E41">
        <v>-34027486.005429</v>
      </c>
      <c r="F41">
        <v>1.0153209000000001</v>
      </c>
      <c r="G41">
        <v>365.259692438</v>
      </c>
    </row>
    <row r="42" spans="1:7" ht="15.75" x14ac:dyDescent="0.5">
      <c r="A42">
        <v>-92660</v>
      </c>
      <c r="B42">
        <v>-32122108.819784999</v>
      </c>
      <c r="C42">
        <v>0.98467901000000002</v>
      </c>
      <c r="D42">
        <v>365.25969231900001</v>
      </c>
      <c r="E42">
        <v>-32122291.449631002</v>
      </c>
      <c r="F42">
        <v>1.01532099</v>
      </c>
      <c r="G42">
        <v>365.25969232199998</v>
      </c>
    </row>
    <row r="43" spans="1:7" ht="15.75" x14ac:dyDescent="0.5">
      <c r="A43">
        <v>-87443</v>
      </c>
      <c r="B43">
        <v>-30216549.005401</v>
      </c>
      <c r="C43">
        <v>0.98467895999999999</v>
      </c>
      <c r="D43">
        <v>365.259692315</v>
      </c>
      <c r="E43">
        <v>-30216731.635247</v>
      </c>
      <c r="F43">
        <v>1.0153210399999999</v>
      </c>
      <c r="G43">
        <v>365.25969231099998</v>
      </c>
    </row>
    <row r="44" spans="1:7" ht="15.75" x14ac:dyDescent="0.5">
      <c r="A44">
        <v>-82226</v>
      </c>
      <c r="B44">
        <v>-28311354.449604999</v>
      </c>
      <c r="C44">
        <v>0.98467892000000001</v>
      </c>
      <c r="D44">
        <v>365.25969241199999</v>
      </c>
      <c r="E44">
        <v>-28311171.819759</v>
      </c>
      <c r="F44">
        <v>1.0153210800000001</v>
      </c>
      <c r="G44">
        <v>365.25969240799998</v>
      </c>
    </row>
    <row r="45" spans="1:7" ht="15.75" x14ac:dyDescent="0.5">
      <c r="A45">
        <v>-77009</v>
      </c>
      <c r="B45">
        <v>-26405794.636213999</v>
      </c>
      <c r="C45">
        <v>0.98467857000000003</v>
      </c>
      <c r="D45">
        <v>365.25969173800001</v>
      </c>
      <c r="E45">
        <v>-26405612.006368</v>
      </c>
      <c r="F45">
        <v>1.01532143</v>
      </c>
      <c r="G45">
        <v>365.259691734</v>
      </c>
    </row>
    <row r="46" spans="1:7" ht="15.75" x14ac:dyDescent="0.5">
      <c r="A46">
        <v>-71792</v>
      </c>
      <c r="B46">
        <v>-24500234.822974</v>
      </c>
      <c r="C46">
        <v>0.98467932000000002</v>
      </c>
      <c r="D46">
        <v>365.259692583</v>
      </c>
      <c r="E46">
        <v>-24500417.452819999</v>
      </c>
      <c r="F46">
        <v>1.0153206800000001</v>
      </c>
      <c r="G46">
        <v>365.25969257999998</v>
      </c>
    </row>
    <row r="47" spans="1:7" ht="15.75" x14ac:dyDescent="0.5">
      <c r="A47">
        <v>-66575</v>
      </c>
      <c r="B47">
        <v>-22594675.004687</v>
      </c>
      <c r="C47">
        <v>0.98467969</v>
      </c>
      <c r="D47">
        <v>365.25969300000003</v>
      </c>
      <c r="E47">
        <v>-22594857.634532999</v>
      </c>
      <c r="F47">
        <v>1.0153203099999999</v>
      </c>
      <c r="G47">
        <v>365.25969298199999</v>
      </c>
    </row>
    <row r="48" spans="1:7" ht="15.75" x14ac:dyDescent="0.5">
      <c r="A48">
        <v>-61358</v>
      </c>
      <c r="B48">
        <v>-20689480.448932</v>
      </c>
      <c r="C48">
        <v>0.98467897000000004</v>
      </c>
      <c r="D48">
        <v>365.259691954</v>
      </c>
      <c r="E48">
        <v>-20689297.819086</v>
      </c>
      <c r="F48">
        <v>1.01532103</v>
      </c>
      <c r="G48">
        <v>365.25969195699997</v>
      </c>
    </row>
    <row r="49" spans="1:7" ht="15.75" x14ac:dyDescent="0.5">
      <c r="A49">
        <v>-56141</v>
      </c>
      <c r="B49">
        <v>-18783920.635313999</v>
      </c>
      <c r="C49">
        <v>0.98467912999999996</v>
      </c>
      <c r="D49">
        <v>365.259692449</v>
      </c>
      <c r="E49">
        <v>-18783738.005468</v>
      </c>
      <c r="F49">
        <v>1.01532087</v>
      </c>
      <c r="G49">
        <v>365.25969244200002</v>
      </c>
    </row>
    <row r="50" spans="1:7" ht="15.75" x14ac:dyDescent="0.5">
      <c r="A50">
        <v>-50924</v>
      </c>
      <c r="B50">
        <v>-16878360.819022</v>
      </c>
      <c r="C50">
        <v>0.98467908999999998</v>
      </c>
      <c r="D50">
        <v>365.25969248299998</v>
      </c>
      <c r="E50">
        <v>-16878543.448869001</v>
      </c>
      <c r="F50">
        <v>1.01532091</v>
      </c>
      <c r="G50">
        <v>365.25969247900002</v>
      </c>
    </row>
    <row r="51" spans="1:7" ht="15.75" x14ac:dyDescent="0.5">
      <c r="A51">
        <v>-45707</v>
      </c>
      <c r="B51">
        <v>-14972801.005083</v>
      </c>
      <c r="C51">
        <v>0.98467870999999996</v>
      </c>
      <c r="D51">
        <v>365.25969197400002</v>
      </c>
      <c r="E51">
        <v>-14972983.634928999</v>
      </c>
      <c r="F51">
        <v>1.0153212899999999</v>
      </c>
      <c r="G51">
        <v>365.25969197000001</v>
      </c>
    </row>
    <row r="52" spans="1:7" ht="15.75" x14ac:dyDescent="0.5">
      <c r="A52">
        <v>-40490</v>
      </c>
      <c r="B52">
        <v>-13067606.450694</v>
      </c>
      <c r="C52">
        <v>0.98467897000000004</v>
      </c>
      <c r="D52">
        <v>365.259692417</v>
      </c>
      <c r="E52">
        <v>-13067423.820847999</v>
      </c>
      <c r="F52">
        <v>1.01532103</v>
      </c>
      <c r="G52">
        <v>365.25969241600001</v>
      </c>
    </row>
    <row r="53" spans="1:7" ht="15.75" x14ac:dyDescent="0.5">
      <c r="A53">
        <v>-35273</v>
      </c>
      <c r="B53">
        <v>-11162046.635259001</v>
      </c>
      <c r="C53">
        <v>0.98467901000000002</v>
      </c>
      <c r="D53">
        <v>365.25969235600002</v>
      </c>
      <c r="E53">
        <v>-11161864.005411999</v>
      </c>
      <c r="F53">
        <v>1.01532099</v>
      </c>
      <c r="G53">
        <v>365.25969236200001</v>
      </c>
    </row>
    <row r="54" spans="1:7" ht="15.75" x14ac:dyDescent="0.5">
      <c r="A54">
        <v>-30056</v>
      </c>
      <c r="B54">
        <v>-9256486.8203170002</v>
      </c>
      <c r="C54">
        <v>0.98467899999999997</v>
      </c>
      <c r="D54">
        <v>365.259692395</v>
      </c>
      <c r="E54">
        <v>-9256669.4501629993</v>
      </c>
      <c r="F54">
        <v>1.0153209999999999</v>
      </c>
      <c r="G54">
        <v>365.25969239699998</v>
      </c>
    </row>
    <row r="55" spans="1:7" ht="15.75" x14ac:dyDescent="0.5">
      <c r="A55">
        <v>-24839</v>
      </c>
      <c r="B55">
        <v>-7350927.005384</v>
      </c>
      <c r="C55">
        <v>0.98467881000000002</v>
      </c>
      <c r="D55">
        <v>365.25969214399998</v>
      </c>
      <c r="E55">
        <v>-7351109.6352300001</v>
      </c>
      <c r="F55">
        <v>1.0153211900000001</v>
      </c>
      <c r="G55">
        <v>365.25969214700001</v>
      </c>
    </row>
    <row r="56" spans="1:7" ht="15.75" x14ac:dyDescent="0.5">
      <c r="A56">
        <v>-19622</v>
      </c>
      <c r="B56">
        <v>-5445732.4520509997</v>
      </c>
      <c r="C56">
        <v>0.98467892000000001</v>
      </c>
      <c r="D56">
        <v>365.25969203199998</v>
      </c>
      <c r="E56">
        <v>-5445549.8222049996</v>
      </c>
      <c r="F56">
        <v>1.0153210800000001</v>
      </c>
      <c r="G56">
        <v>365.25969203800003</v>
      </c>
    </row>
    <row r="57" spans="1:7" ht="15.75" x14ac:dyDescent="0.5">
      <c r="A57">
        <v>-14405</v>
      </c>
      <c r="B57">
        <v>-3540172.6360909999</v>
      </c>
      <c r="C57">
        <v>0.98467967000000001</v>
      </c>
      <c r="D57">
        <v>365.25969301100002</v>
      </c>
      <c r="E57">
        <v>-3539990.006244</v>
      </c>
      <c r="F57">
        <v>1.0153203399999999</v>
      </c>
      <c r="G57">
        <v>365.259693013</v>
      </c>
    </row>
    <row r="58" spans="1:7" ht="15.75" x14ac:dyDescent="0.5">
      <c r="A58">
        <v>-9188</v>
      </c>
      <c r="B58">
        <v>-1634612.8182600001</v>
      </c>
      <c r="C58">
        <v>0.98467925000000001</v>
      </c>
      <c r="D58">
        <v>365.259692454</v>
      </c>
      <c r="E58">
        <v>-1634795.448106</v>
      </c>
      <c r="F58">
        <v>1.0153207500000001</v>
      </c>
      <c r="G58">
        <v>365.25969245599998</v>
      </c>
    </row>
    <row r="59" spans="1:7" ht="15.75" x14ac:dyDescent="0.5">
      <c r="A59">
        <v>-3971</v>
      </c>
      <c r="B59">
        <v>270946.995047</v>
      </c>
      <c r="C59">
        <v>0.98467872999999995</v>
      </c>
      <c r="D59">
        <v>365.25969190500001</v>
      </c>
      <c r="E59">
        <v>270764.36520200002</v>
      </c>
      <c r="F59">
        <v>1.0153212700000001</v>
      </c>
      <c r="G59">
        <v>365.25969191199999</v>
      </c>
    </row>
    <row r="60" spans="1:7" ht="15.75" x14ac:dyDescent="0.5">
      <c r="A60">
        <v>1246</v>
      </c>
      <c r="B60">
        <v>2176141.5497559998</v>
      </c>
      <c r="C60">
        <v>0.98467899999999997</v>
      </c>
      <c r="D60">
        <v>365.25969249600001</v>
      </c>
      <c r="E60">
        <v>2176324.1796019999</v>
      </c>
      <c r="F60">
        <v>1.0153209999999999</v>
      </c>
      <c r="G60">
        <v>365.25969249899998</v>
      </c>
    </row>
    <row r="61" spans="1:7" ht="15.75" x14ac:dyDescent="0.5">
      <c r="A61">
        <v>6463</v>
      </c>
      <c r="B61">
        <v>4081701.3645290001</v>
      </c>
      <c r="C61">
        <v>0.98467879000000003</v>
      </c>
      <c r="D61">
        <v>365.25969200399999</v>
      </c>
      <c r="E61">
        <v>4081883.9943749998</v>
      </c>
      <c r="F61">
        <v>1.01532121</v>
      </c>
      <c r="G61">
        <v>365.25969200399999</v>
      </c>
    </row>
    <row r="62" spans="1:7" ht="15.75" x14ac:dyDescent="0.5">
      <c r="A62">
        <v>11680</v>
      </c>
      <c r="B62">
        <v>5987261.1779690003</v>
      </c>
      <c r="C62">
        <v>0.98467917000000005</v>
      </c>
      <c r="D62">
        <v>365.25969239</v>
      </c>
      <c r="E62">
        <v>5987078.5481230002</v>
      </c>
      <c r="F62">
        <v>1.0153208300000001</v>
      </c>
      <c r="G62">
        <v>365.25969238300002</v>
      </c>
    </row>
    <row r="63" spans="1:7" ht="15.75" x14ac:dyDescent="0.5">
      <c r="A63">
        <v>16897</v>
      </c>
      <c r="B63">
        <v>7892820.9951839997</v>
      </c>
      <c r="C63">
        <v>0.98467954000000002</v>
      </c>
      <c r="D63">
        <v>365.25969290199998</v>
      </c>
      <c r="E63">
        <v>7892638.3653379995</v>
      </c>
      <c r="F63">
        <v>1.0153204600000001</v>
      </c>
      <c r="G63">
        <v>365.25969289900002</v>
      </c>
    </row>
    <row r="64" spans="1:7" ht="15.75" x14ac:dyDescent="0.5">
      <c r="A64">
        <v>22114</v>
      </c>
      <c r="B64">
        <v>9798015.5513070002</v>
      </c>
      <c r="C64">
        <v>0.98467894</v>
      </c>
      <c r="D64">
        <v>365.25969208599997</v>
      </c>
      <c r="E64">
        <v>9798198.1811529994</v>
      </c>
      <c r="F64">
        <v>1.01532106</v>
      </c>
      <c r="G64">
        <v>365.25969208800001</v>
      </c>
    </row>
    <row r="65" spans="1:7" ht="15.75" x14ac:dyDescent="0.5">
      <c r="A65">
        <v>27331</v>
      </c>
      <c r="B65">
        <v>11703575.364722</v>
      </c>
      <c r="C65">
        <v>0.98467886000000004</v>
      </c>
      <c r="D65">
        <v>365.259692196</v>
      </c>
      <c r="E65">
        <v>11703757.994568</v>
      </c>
      <c r="F65">
        <v>1.01532114</v>
      </c>
      <c r="G65">
        <v>365.25969219799998</v>
      </c>
    </row>
    <row r="66" spans="1:7" ht="15.75" x14ac:dyDescent="0.5">
      <c r="A66">
        <v>32548</v>
      </c>
      <c r="B66">
        <v>13609135.179665999</v>
      </c>
      <c r="C66">
        <v>0.98467899999999997</v>
      </c>
      <c r="D66">
        <v>365.25969236700001</v>
      </c>
      <c r="E66">
        <v>13608952.54982</v>
      </c>
      <c r="F66">
        <v>1.0153209999999999</v>
      </c>
      <c r="G66">
        <v>365.25969237100003</v>
      </c>
    </row>
  </sheetData>
  <pageMargins left="0.7" right="0.7" top="0.75" bottom="0.75" header="0.3" footer="0.3"/>
  <ignoredErrors>
    <ignoredError sqref="A1:G1 A66 A2 A3 A4 A5 A6 A7 A8 A9 A10 A11 A12 A13 A14 A15 A16 A17 A18 A19 A20 A21 A22 A23 A24 A25 A26 A27 A28 A29 A30 A31 A32 A33 A34 A35 A36 A37 A38 A39 A40 A41 A42 A43 A44 A45 A46 A47 A48 A49 A50 A51 A52 A53 A54 A55 A56 A57 A58 A59 A60 A61 A62 A63 A64 A6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6"/>
  <sheetViews>
    <sheetView workbookViewId="0"/>
  </sheetViews>
  <sheetFormatPr defaultRowHeight="14.25" x14ac:dyDescent="0.5"/>
  <sheetData>
    <row r="1" spans="1:3" ht="15.75" x14ac:dyDescent="0.5">
      <c r="A1" t="s">
        <v>42</v>
      </c>
      <c r="B1" t="s">
        <v>57</v>
      </c>
      <c r="C1" t="s">
        <v>58</v>
      </c>
    </row>
    <row r="2" spans="1:3" ht="15.75" x14ac:dyDescent="0.5">
      <c r="A2">
        <v>-301340</v>
      </c>
      <c r="B2">
        <v>-108340848.81494699</v>
      </c>
      <c r="C2">
        <v>365.25646433200001</v>
      </c>
    </row>
    <row r="3" spans="1:3" ht="15.75" x14ac:dyDescent="0.5">
      <c r="A3">
        <v>-296123</v>
      </c>
      <c r="B3">
        <v>-106435379.42291</v>
      </c>
      <c r="C3">
        <v>365.25641253600003</v>
      </c>
    </row>
    <row r="4" spans="1:3" ht="15.75" x14ac:dyDescent="0.5">
      <c r="A4">
        <v>-290906</v>
      </c>
      <c r="B4">
        <v>-104529911.81311101</v>
      </c>
      <c r="C4">
        <v>365.25636166300001</v>
      </c>
    </row>
    <row r="5" spans="1:3" ht="15.75" x14ac:dyDescent="0.5">
      <c r="A5">
        <v>-285689</v>
      </c>
      <c r="B5">
        <v>-102624444.20164999</v>
      </c>
      <c r="C5">
        <v>365.25641314699999</v>
      </c>
    </row>
    <row r="6" spans="1:3" ht="15.75" x14ac:dyDescent="0.5">
      <c r="A6">
        <v>-280472</v>
      </c>
      <c r="B6">
        <v>-100718974.807219</v>
      </c>
      <c r="C6">
        <v>365.25646679099998</v>
      </c>
    </row>
    <row r="7" spans="1:3" ht="15.75" x14ac:dyDescent="0.5">
      <c r="A7">
        <v>-275255</v>
      </c>
      <c r="B7">
        <v>-98813505.417061999</v>
      </c>
      <c r="C7">
        <v>365.256420687</v>
      </c>
    </row>
    <row r="8" spans="1:3" ht="15.75" x14ac:dyDescent="0.5">
      <c r="A8">
        <v>-270038</v>
      </c>
      <c r="B8">
        <v>-96908037.815463006</v>
      </c>
      <c r="C8">
        <v>365.25637213900001</v>
      </c>
    </row>
    <row r="9" spans="1:3" ht="15.75" x14ac:dyDescent="0.5">
      <c r="A9">
        <v>-264821</v>
      </c>
      <c r="B9">
        <v>-95002570.213213995</v>
      </c>
      <c r="C9">
        <v>365.25641961399998</v>
      </c>
    </row>
    <row r="10" spans="1:3" ht="15.75" x14ac:dyDescent="0.5">
      <c r="A10">
        <v>-259604</v>
      </c>
      <c r="B10">
        <v>-93097100.821663007</v>
      </c>
      <c r="C10">
        <v>365.25646515199998</v>
      </c>
    </row>
    <row r="11" spans="1:3" ht="15.75" x14ac:dyDescent="0.5">
      <c r="A11">
        <v>-254387</v>
      </c>
      <c r="B11">
        <v>-91191631.426294997</v>
      </c>
      <c r="C11">
        <v>365.25641153800001</v>
      </c>
    </row>
    <row r="12" spans="1:3" ht="15.75" x14ac:dyDescent="0.5">
      <c r="A12">
        <v>-249170</v>
      </c>
      <c r="B12">
        <v>-89286163.815475002</v>
      </c>
      <c r="C12">
        <v>365.25636027799999</v>
      </c>
    </row>
    <row r="13" spans="1:3" ht="15.75" x14ac:dyDescent="0.5">
      <c r="A13">
        <v>-243953</v>
      </c>
      <c r="B13">
        <v>-87380696.207439005</v>
      </c>
      <c r="C13">
        <v>365.25641129899998</v>
      </c>
    </row>
    <row r="14" spans="1:3" ht="15.75" x14ac:dyDescent="0.5">
      <c r="A14">
        <v>-238736</v>
      </c>
      <c r="B14">
        <v>-85475226.816393003</v>
      </c>
      <c r="C14">
        <v>365.25646312499998</v>
      </c>
    </row>
    <row r="15" spans="1:3" ht="15.75" x14ac:dyDescent="0.5">
      <c r="A15">
        <v>-233519</v>
      </c>
      <c r="B15">
        <v>-83569757.423885003</v>
      </c>
      <c r="C15">
        <v>365.256414339</v>
      </c>
    </row>
    <row r="16" spans="1:3" ht="15.75" x14ac:dyDescent="0.5">
      <c r="A16">
        <v>-228302</v>
      </c>
      <c r="B16">
        <v>-81664289.813107997</v>
      </c>
      <c r="C16">
        <v>365.256364152</v>
      </c>
    </row>
    <row r="17" spans="1:3" ht="15.75" x14ac:dyDescent="0.5">
      <c r="A17">
        <v>-223085</v>
      </c>
      <c r="B17">
        <v>-79758822.201481</v>
      </c>
      <c r="C17">
        <v>365.25641271500001</v>
      </c>
    </row>
    <row r="18" spans="1:3" ht="15.75" x14ac:dyDescent="0.5">
      <c r="A18">
        <v>-217868</v>
      </c>
      <c r="B18">
        <v>-77853352.807934999</v>
      </c>
      <c r="C18">
        <v>365.25646093500001</v>
      </c>
    </row>
    <row r="19" spans="1:3" ht="15.75" x14ac:dyDescent="0.5">
      <c r="A19">
        <v>-212651</v>
      </c>
      <c r="B19">
        <v>-75947883.418608993</v>
      </c>
      <c r="C19">
        <v>365.25640930200001</v>
      </c>
    </row>
    <row r="20" spans="1:3" ht="15.75" x14ac:dyDescent="0.5">
      <c r="A20">
        <v>-207434</v>
      </c>
      <c r="B20">
        <v>-74042415.816455007</v>
      </c>
      <c r="C20">
        <v>365.25635826600001</v>
      </c>
    </row>
    <row r="21" spans="1:3" ht="15.75" x14ac:dyDescent="0.5">
      <c r="A21">
        <v>-202217</v>
      </c>
      <c r="B21">
        <v>-72136948.212237999</v>
      </c>
      <c r="C21">
        <v>365.25640855699999</v>
      </c>
    </row>
    <row r="22" spans="1:3" ht="15.75" x14ac:dyDescent="0.5">
      <c r="A22">
        <v>-197000</v>
      </c>
      <c r="B22">
        <v>-70231478.818875998</v>
      </c>
      <c r="C22">
        <v>365.25646068200001</v>
      </c>
    </row>
    <row r="23" spans="1:3" ht="15.75" x14ac:dyDescent="0.5">
      <c r="A23">
        <v>-191783</v>
      </c>
      <c r="B23">
        <v>-68326009.423277006</v>
      </c>
      <c r="C23">
        <v>365.25641422000001</v>
      </c>
    </row>
    <row r="24" spans="1:3" ht="15.75" x14ac:dyDescent="0.5">
      <c r="A24">
        <v>-186566</v>
      </c>
      <c r="B24">
        <v>-66420541.814083003</v>
      </c>
      <c r="C24">
        <v>365.25636757900003</v>
      </c>
    </row>
    <row r="25" spans="1:3" ht="15.75" x14ac:dyDescent="0.5">
      <c r="A25">
        <v>-181349</v>
      </c>
      <c r="B25">
        <v>-64515074.208181001</v>
      </c>
      <c r="C25">
        <v>365.25641851900002</v>
      </c>
    </row>
    <row r="26" spans="1:3" ht="15.75" x14ac:dyDescent="0.5">
      <c r="A26">
        <v>-176132</v>
      </c>
      <c r="B26">
        <v>-62609604.818152003</v>
      </c>
      <c r="C26">
        <v>365.256467015</v>
      </c>
    </row>
    <row r="27" spans="1:3" ht="15.75" x14ac:dyDescent="0.5">
      <c r="A27">
        <v>-170915</v>
      </c>
      <c r="B27">
        <v>-60704135.425398</v>
      </c>
      <c r="C27">
        <v>365.25641477099998</v>
      </c>
    </row>
    <row r="28" spans="1:3" ht="15.75" x14ac:dyDescent="0.5">
      <c r="A28">
        <v>-165698</v>
      </c>
      <c r="B28">
        <v>-58798667.814087003</v>
      </c>
      <c r="C28">
        <v>365.25636376400001</v>
      </c>
    </row>
    <row r="29" spans="1:3" ht="15.75" x14ac:dyDescent="0.5">
      <c r="A29">
        <v>-160481</v>
      </c>
      <c r="B29">
        <v>-56893200.202623002</v>
      </c>
      <c r="C29">
        <v>365.25641503899999</v>
      </c>
    </row>
    <row r="30" spans="1:3" ht="15.75" x14ac:dyDescent="0.5">
      <c r="A30">
        <v>-155264</v>
      </c>
      <c r="B30">
        <v>-54987730.809699997</v>
      </c>
      <c r="C30">
        <v>365.25646777499998</v>
      </c>
    </row>
    <row r="31" spans="1:3" ht="15.75" x14ac:dyDescent="0.5">
      <c r="A31">
        <v>-150047</v>
      </c>
      <c r="B31">
        <v>-53082261.420279004</v>
      </c>
      <c r="C31">
        <v>365.256419994</v>
      </c>
    </row>
    <row r="32" spans="1:3" ht="15.75" x14ac:dyDescent="0.5">
      <c r="A32">
        <v>-144830</v>
      </c>
      <c r="B32">
        <v>-51176793.816445</v>
      </c>
      <c r="C32">
        <v>365.25636945700001</v>
      </c>
    </row>
    <row r="33" spans="1:3" ht="15.75" x14ac:dyDescent="0.5">
      <c r="A33">
        <v>-139613</v>
      </c>
      <c r="B33">
        <v>-49271326.209742002</v>
      </c>
      <c r="C33">
        <v>365.25641588899998</v>
      </c>
    </row>
    <row r="34" spans="1:3" ht="15.75" x14ac:dyDescent="0.5">
      <c r="A34">
        <v>-134396</v>
      </c>
      <c r="B34">
        <v>-47365856.814949997</v>
      </c>
      <c r="C34">
        <v>365.25646167999997</v>
      </c>
    </row>
    <row r="35" spans="1:3" ht="15.75" x14ac:dyDescent="0.5">
      <c r="A35">
        <v>-129179</v>
      </c>
      <c r="B35">
        <v>-45460387.419988997</v>
      </c>
      <c r="C35">
        <v>365.25640899699999</v>
      </c>
    </row>
    <row r="36" spans="1:3" ht="15.75" x14ac:dyDescent="0.5">
      <c r="A36">
        <v>-123962</v>
      </c>
      <c r="B36">
        <v>-43554919.813112997</v>
      </c>
      <c r="C36">
        <v>365.25635853400001</v>
      </c>
    </row>
    <row r="37" spans="1:3" ht="15.75" x14ac:dyDescent="0.5">
      <c r="A37">
        <v>-118745</v>
      </c>
      <c r="B37">
        <v>-41649452.209440999</v>
      </c>
      <c r="C37">
        <v>365.25640974200002</v>
      </c>
    </row>
    <row r="38" spans="1:3" ht="15.75" x14ac:dyDescent="0.5">
      <c r="A38">
        <v>-113528</v>
      </c>
      <c r="B38">
        <v>-39743982.820191003</v>
      </c>
      <c r="C38">
        <v>365.25646148599998</v>
      </c>
    </row>
    <row r="39" spans="1:3" ht="15.75" x14ac:dyDescent="0.5">
      <c r="A39">
        <v>-108311</v>
      </c>
      <c r="B39">
        <v>-37838513.427102998</v>
      </c>
      <c r="C39">
        <v>365.25641304999999</v>
      </c>
    </row>
    <row r="40" spans="1:3" ht="15.75" x14ac:dyDescent="0.5">
      <c r="A40">
        <v>-103094</v>
      </c>
      <c r="B40">
        <v>-35933045.815471001</v>
      </c>
      <c r="C40">
        <v>365.25636390599999</v>
      </c>
    </row>
    <row r="41" spans="1:3" ht="15.75" x14ac:dyDescent="0.5">
      <c r="A41">
        <v>-97877</v>
      </c>
      <c r="B41">
        <v>-34027578.204328999</v>
      </c>
      <c r="C41">
        <v>365.256413549</v>
      </c>
    </row>
    <row r="42" spans="1:3" ht="15.75" x14ac:dyDescent="0.5">
      <c r="A42">
        <v>-92660</v>
      </c>
      <c r="B42">
        <v>-32122108.811742</v>
      </c>
      <c r="C42">
        <v>365.25646218999998</v>
      </c>
    </row>
    <row r="43" spans="1:3" ht="15.75" x14ac:dyDescent="0.5">
      <c r="A43">
        <v>-87443</v>
      </c>
      <c r="B43">
        <v>-30216639.421544999</v>
      </c>
      <c r="C43">
        <v>365.256410383</v>
      </c>
    </row>
    <row r="44" spans="1:3" ht="15.75" x14ac:dyDescent="0.5">
      <c r="A44">
        <v>-82226</v>
      </c>
      <c r="B44">
        <v>-28311171.815476</v>
      </c>
      <c r="C44">
        <v>365.25635918199998</v>
      </c>
    </row>
    <row r="45" spans="1:3" ht="15.75" x14ac:dyDescent="0.5">
      <c r="A45">
        <v>-77009</v>
      </c>
      <c r="B45">
        <v>-26405704.206452999</v>
      </c>
      <c r="C45">
        <v>365.25641000600001</v>
      </c>
    </row>
    <row r="46" spans="1:3" ht="15.75" x14ac:dyDescent="0.5">
      <c r="A46">
        <v>-71792</v>
      </c>
      <c r="B46">
        <v>-24500234.811021999</v>
      </c>
      <c r="C46">
        <v>365.25646328200003</v>
      </c>
    </row>
    <row r="47" spans="1:3" ht="15.75" x14ac:dyDescent="0.5">
      <c r="A47">
        <v>-66575</v>
      </c>
      <c r="B47">
        <v>-22594765.417484999</v>
      </c>
      <c r="C47">
        <v>365.256417844</v>
      </c>
    </row>
    <row r="48" spans="1:3" ht="15.75" x14ac:dyDescent="0.5">
      <c r="A48">
        <v>-61358</v>
      </c>
      <c r="B48">
        <v>-20689297.813099001</v>
      </c>
      <c r="C48">
        <v>365.256371129</v>
      </c>
    </row>
    <row r="49" spans="1:3" ht="15.75" x14ac:dyDescent="0.5">
      <c r="A49">
        <v>-56141</v>
      </c>
      <c r="B49">
        <v>-18783830.211118001</v>
      </c>
      <c r="C49">
        <v>365.25642080599999</v>
      </c>
    </row>
    <row r="50" spans="1:3" ht="15.75" x14ac:dyDescent="0.5">
      <c r="A50">
        <v>-50924</v>
      </c>
      <c r="B50">
        <v>-16878360.821961999</v>
      </c>
      <c r="C50">
        <v>365.25646773</v>
      </c>
    </row>
    <row r="51" spans="1:3" ht="15.75" x14ac:dyDescent="0.5">
      <c r="A51">
        <v>-45707</v>
      </c>
      <c r="B51">
        <v>-14972891.428246999</v>
      </c>
      <c r="C51">
        <v>365.25641445600002</v>
      </c>
    </row>
    <row r="52" spans="1:3" ht="15.75" x14ac:dyDescent="0.5">
      <c r="A52">
        <v>-40490</v>
      </c>
      <c r="B52">
        <v>-13067423.816451</v>
      </c>
      <c r="C52">
        <v>365.25636297800003</v>
      </c>
    </row>
    <row r="53" spans="1:3" ht="15.75" x14ac:dyDescent="0.5">
      <c r="A53">
        <v>-35273</v>
      </c>
      <c r="B53">
        <v>-11161956.205842</v>
      </c>
      <c r="C53">
        <v>365.25641380799999</v>
      </c>
    </row>
    <row r="54" spans="1:3" ht="15.75" x14ac:dyDescent="0.5">
      <c r="A54">
        <v>-30056</v>
      </c>
      <c r="B54">
        <v>-9256486.8135010004</v>
      </c>
      <c r="C54">
        <v>365.25646571999999</v>
      </c>
    </row>
    <row r="55" spans="1:3" ht="15.75" x14ac:dyDescent="0.5">
      <c r="A55">
        <v>-24839</v>
      </c>
      <c r="B55">
        <v>-7351017.4222860001</v>
      </c>
      <c r="C55">
        <v>365.25641688899998</v>
      </c>
    </row>
    <row r="56" spans="1:3" ht="15.75" x14ac:dyDescent="0.5">
      <c r="A56">
        <v>-19622</v>
      </c>
      <c r="B56">
        <v>-5445549.8140850002</v>
      </c>
      <c r="C56">
        <v>365.25636593799999</v>
      </c>
    </row>
    <row r="57" spans="1:3" ht="15.75" x14ac:dyDescent="0.5">
      <c r="A57">
        <v>-14405</v>
      </c>
      <c r="B57">
        <v>-3540082.203435</v>
      </c>
      <c r="C57">
        <v>365.25641314000001</v>
      </c>
    </row>
    <row r="58" spans="1:3" ht="15.75" x14ac:dyDescent="0.5">
      <c r="A58">
        <v>-9188</v>
      </c>
      <c r="B58">
        <v>-1634612.8082359999</v>
      </c>
      <c r="C58">
        <v>365.25646032600002</v>
      </c>
    </row>
    <row r="59" spans="1:3" ht="15.75" x14ac:dyDescent="0.5">
      <c r="A59">
        <v>-3971</v>
      </c>
      <c r="B59">
        <v>270856.58348299999</v>
      </c>
      <c r="C59">
        <v>365.25640862500001</v>
      </c>
    </row>
    <row r="60" spans="1:3" ht="15.75" x14ac:dyDescent="0.5">
      <c r="A60">
        <v>1246</v>
      </c>
      <c r="B60">
        <v>2176324.185908</v>
      </c>
      <c r="C60">
        <v>365.25635821499998</v>
      </c>
    </row>
    <row r="61" spans="1:3" ht="15.75" x14ac:dyDescent="0.5">
      <c r="A61">
        <v>6463</v>
      </c>
      <c r="B61">
        <v>4081791.7873450001</v>
      </c>
      <c r="C61">
        <v>365.25640891500001</v>
      </c>
    </row>
    <row r="62" spans="1:3" ht="15.75" x14ac:dyDescent="0.5">
      <c r="A62">
        <v>11680</v>
      </c>
      <c r="B62">
        <v>5987261.1773269996</v>
      </c>
      <c r="C62">
        <v>365.25646048099998</v>
      </c>
    </row>
    <row r="63" spans="1:3" ht="15.75" x14ac:dyDescent="0.5">
      <c r="A63">
        <v>16897</v>
      </c>
      <c r="B63">
        <v>7892730.5719210003</v>
      </c>
      <c r="C63">
        <v>365.25641270099999</v>
      </c>
    </row>
    <row r="64" spans="1:3" ht="15.75" x14ac:dyDescent="0.5">
      <c r="A64">
        <v>22114</v>
      </c>
      <c r="B64">
        <v>9798198.1835500002</v>
      </c>
      <c r="C64">
        <v>365.25636479399998</v>
      </c>
    </row>
    <row r="65" spans="1:3" ht="15.75" x14ac:dyDescent="0.5">
      <c r="A65">
        <v>27331</v>
      </c>
      <c r="B65">
        <v>11703665.793183999</v>
      </c>
      <c r="C65">
        <v>365.25641541200002</v>
      </c>
    </row>
    <row r="66" spans="1:3" ht="15.75" x14ac:dyDescent="0.5">
      <c r="A66">
        <v>32548</v>
      </c>
      <c r="B66">
        <v>13609135.185053</v>
      </c>
      <c r="C66">
        <v>365.25646432500002</v>
      </c>
    </row>
  </sheetData>
  <pageMargins left="0.7" right="0.7" top="0.75" bottom="0.75" header="0.3" footer="0.3"/>
  <ignoredErrors>
    <ignoredError sqref="A1:C1 A66 A2 A3 A4 A5 A6 A7 A8 A9 A10 A11 A12 A13 A14 A15 A16 A17 A18 A19 A20 A21 A22 A23 A24 A25 A26 A27 A28 A29 A30 A31 A32 A33 A34 A35 A36 A37 A38 A39 A40 A41 A42 A43 A44 A45 A46 A47 A48 A49 A50 A51 A52 A53 A54 A55 A56 A57 A58 A59 A60 A61 A62 A63 A64 A65"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6"/>
  <sheetViews>
    <sheetView workbookViewId="0">
      <pane xSplit="1" ySplit="1" topLeftCell="B2" activePane="bottomRight" state="frozen"/>
      <selection pane="topRight" activeCell="C1" sqref="C1"/>
      <selection pane="bottomLeft" activeCell="A5" sqref="A5"/>
      <selection pane="bottomRight" activeCell="L56" sqref="L56"/>
    </sheetView>
  </sheetViews>
  <sheetFormatPr defaultRowHeight="15.75" x14ac:dyDescent="0.5"/>
  <cols>
    <col min="1" max="1" width="7.3125" bestFit="1" customWidth="1"/>
    <col min="2" max="2" width="10.75" bestFit="1" customWidth="1"/>
    <col min="3" max="3" width="10.6875" bestFit="1" customWidth="1"/>
    <col min="4" max="4" width="16.875" bestFit="1" customWidth="1"/>
    <col min="5" max="10" width="11.6875" bestFit="1" customWidth="1"/>
    <col min="11" max="11" width="19.875" bestFit="1" customWidth="1"/>
    <col min="12" max="12" width="11.6875" bestFit="1" customWidth="1"/>
  </cols>
  <sheetData>
    <row r="1" spans="1:12" x14ac:dyDescent="0.5">
      <c r="A1" s="3" t="s">
        <v>42</v>
      </c>
      <c r="B1" s="3" t="s">
        <v>5</v>
      </c>
      <c r="C1" s="3" t="s">
        <v>6</v>
      </c>
      <c r="D1" s="3" t="s">
        <v>39</v>
      </c>
      <c r="E1" s="3" t="s">
        <v>59</v>
      </c>
      <c r="F1" s="3" t="s">
        <v>60</v>
      </c>
      <c r="G1" s="3" t="s">
        <v>61</v>
      </c>
      <c r="H1" s="3" t="s">
        <v>62</v>
      </c>
      <c r="I1" s="3" t="s">
        <v>63</v>
      </c>
      <c r="J1" s="3" t="s">
        <v>64</v>
      </c>
      <c r="K1" s="3" t="s">
        <v>58</v>
      </c>
      <c r="L1" s="3" t="s">
        <v>77</v>
      </c>
    </row>
    <row r="2" spans="1:12" x14ac:dyDescent="0.5">
      <c r="A2">
        <v>-301340</v>
      </c>
      <c r="B2">
        <v>23.413979999999999</v>
      </c>
      <c r="C2">
        <v>1.38984E-2</v>
      </c>
      <c r="D2">
        <v>365.24217624200003</v>
      </c>
      <c r="E2">
        <v>365.242165715</v>
      </c>
      <c r="F2">
        <v>365.24245746399998</v>
      </c>
      <c r="G2">
        <v>365.24216061800001</v>
      </c>
      <c r="H2">
        <v>365.24192117199999</v>
      </c>
      <c r="I2">
        <v>365.25969237100003</v>
      </c>
      <c r="J2">
        <v>365.25969235600002</v>
      </c>
      <c r="K2">
        <v>365.25646433200001</v>
      </c>
      <c r="L2">
        <f>K2/(K2-D2)</f>
        <v>25563.701259757101</v>
      </c>
    </row>
    <row r="3" spans="1:12" x14ac:dyDescent="0.5">
      <c r="A3">
        <v>-296123</v>
      </c>
      <c r="B3">
        <v>23.255234000000002</v>
      </c>
      <c r="C3">
        <v>1.538982E-2</v>
      </c>
      <c r="D3">
        <v>365.24218128199999</v>
      </c>
      <c r="E3">
        <v>365.24190503400001</v>
      </c>
      <c r="F3">
        <v>365.24218912399999</v>
      </c>
      <c r="G3">
        <v>365.24244183299999</v>
      </c>
      <c r="H3">
        <v>365.242189139</v>
      </c>
      <c r="I3">
        <v>365.259692401</v>
      </c>
      <c r="J3">
        <v>365.259692401</v>
      </c>
      <c r="K3">
        <v>365.25641253600003</v>
      </c>
      <c r="L3">
        <f>K3/(K3-D3)</f>
        <v>25665.792525032313</v>
      </c>
    </row>
    <row r="4" spans="1:12" x14ac:dyDescent="0.5">
      <c r="A4">
        <v>-290906</v>
      </c>
      <c r="B4">
        <v>22.886448000000001</v>
      </c>
      <c r="C4">
        <v>1.6743600000000001E-2</v>
      </c>
      <c r="D4">
        <v>365.24219472300001</v>
      </c>
      <c r="E4">
        <v>365.242198363</v>
      </c>
      <c r="F4">
        <v>365.241920978</v>
      </c>
      <c r="G4">
        <v>365.24220228199999</v>
      </c>
      <c r="H4">
        <v>365.24245727099998</v>
      </c>
      <c r="I4">
        <v>365.259692401</v>
      </c>
      <c r="J4">
        <v>365.259692401</v>
      </c>
      <c r="K4">
        <v>365.25636166300001</v>
      </c>
      <c r="L4">
        <f>K4/(K4-D4)</f>
        <v>25782.304552932073</v>
      </c>
    </row>
    <row r="5" spans="1:12" x14ac:dyDescent="0.5">
      <c r="A5">
        <v>-285689</v>
      </c>
      <c r="B5">
        <v>22.563410000000001</v>
      </c>
      <c r="C5">
        <v>1.538408E-2</v>
      </c>
      <c r="D5">
        <v>365.24220817899999</v>
      </c>
      <c r="E5">
        <v>365.24249422600002</v>
      </c>
      <c r="F5">
        <v>365.24218967600001</v>
      </c>
      <c r="G5">
        <v>365.24195909500003</v>
      </c>
      <c r="H5">
        <v>365.24218972</v>
      </c>
      <c r="I5">
        <v>365.25969186399999</v>
      </c>
      <c r="J5">
        <v>365.25969183400002</v>
      </c>
      <c r="K5">
        <v>365.25641314699999</v>
      </c>
      <c r="L5">
        <f t="shared" ref="L5:L66" si="0">K5/(K5-D5)</f>
        <v>25713.286587267547</v>
      </c>
    </row>
    <row r="6" spans="1:12" x14ac:dyDescent="0.5">
      <c r="A6">
        <v>-280472</v>
      </c>
      <c r="B6">
        <v>22.537782</v>
      </c>
      <c r="C6">
        <v>1.38984E-2</v>
      </c>
      <c r="D6">
        <v>365.24221314099998</v>
      </c>
      <c r="E6">
        <v>365.24224035399999</v>
      </c>
      <c r="F6">
        <v>365.24245770300001</v>
      </c>
      <c r="G6">
        <v>365.24223312700002</v>
      </c>
      <c r="H6">
        <v>365.24192138000001</v>
      </c>
      <c r="I6">
        <v>365.259692535</v>
      </c>
      <c r="J6">
        <v>365.25969250499998</v>
      </c>
      <c r="K6">
        <v>365.25646679099998</v>
      </c>
      <c r="L6">
        <f t="shared" si="0"/>
        <v>25625.469040630687</v>
      </c>
    </row>
    <row r="7" spans="1:12" x14ac:dyDescent="0.5">
      <c r="A7">
        <v>-275255</v>
      </c>
      <c r="B7">
        <v>22.904309000000001</v>
      </c>
      <c r="C7">
        <v>1.538963E-2</v>
      </c>
      <c r="D7">
        <v>365.24220579899998</v>
      </c>
      <c r="E7">
        <v>365.24195590599999</v>
      </c>
      <c r="F7">
        <v>365.24218812599997</v>
      </c>
      <c r="G7">
        <v>365.24249109599998</v>
      </c>
      <c r="H7">
        <v>365.24218806599998</v>
      </c>
      <c r="I7">
        <v>365.25969263899998</v>
      </c>
      <c r="J7">
        <v>365.259692669</v>
      </c>
      <c r="K7">
        <v>365.256420687</v>
      </c>
      <c r="L7">
        <f t="shared" si="0"/>
        <v>25695.342846621301</v>
      </c>
    </row>
    <row r="8" spans="1:12" x14ac:dyDescent="0.5">
      <c r="A8">
        <v>-270038</v>
      </c>
      <c r="B8">
        <v>23.538454000000002</v>
      </c>
      <c r="C8">
        <v>1.6743600000000001E-2</v>
      </c>
      <c r="D8">
        <v>365.24218913499999</v>
      </c>
      <c r="E8">
        <v>365.24218593500001</v>
      </c>
      <c r="F8">
        <v>365.24191902600001</v>
      </c>
      <c r="G8">
        <v>365.24219617199998</v>
      </c>
      <c r="H8">
        <v>365.24245540800001</v>
      </c>
      <c r="I8">
        <v>365.25969196900002</v>
      </c>
      <c r="J8">
        <v>365.25969196900002</v>
      </c>
      <c r="K8">
        <v>365.25637213900001</v>
      </c>
      <c r="L8">
        <f t="shared" si="0"/>
        <v>25753.103654102855</v>
      </c>
    </row>
    <row r="9" spans="1:12" x14ac:dyDescent="0.5">
      <c r="A9">
        <v>-264821</v>
      </c>
      <c r="B9">
        <v>24.161581000000002</v>
      </c>
      <c r="C9">
        <v>1.538427E-2</v>
      </c>
      <c r="D9">
        <v>365.24217154799999</v>
      </c>
      <c r="E9">
        <v>365.24242341500002</v>
      </c>
      <c r="F9">
        <v>365.242188349</v>
      </c>
      <c r="G9">
        <v>365.24188615399999</v>
      </c>
      <c r="H9">
        <v>365.24218827499999</v>
      </c>
      <c r="I9">
        <v>365.25969284799999</v>
      </c>
      <c r="J9">
        <v>365.25969284799999</v>
      </c>
      <c r="K9">
        <v>365.25641961399998</v>
      </c>
      <c r="L9">
        <f t="shared" si="0"/>
        <v>25635.508679856765</v>
      </c>
    </row>
    <row r="10" spans="1:12" x14ac:dyDescent="0.5">
      <c r="A10">
        <v>-259604</v>
      </c>
      <c r="B10">
        <v>24.496179999999999</v>
      </c>
      <c r="C10">
        <v>1.38984E-2</v>
      </c>
      <c r="D10">
        <v>365.24216239200001</v>
      </c>
      <c r="E10">
        <v>365.24213859399998</v>
      </c>
      <c r="F10">
        <v>365.24245795600001</v>
      </c>
      <c r="G10">
        <v>365.24213136700001</v>
      </c>
      <c r="H10">
        <v>365.24192164800002</v>
      </c>
      <c r="I10">
        <v>365.25969256500002</v>
      </c>
      <c r="J10">
        <v>365.25969256500002</v>
      </c>
      <c r="K10">
        <v>365.25646515199998</v>
      </c>
      <c r="L10">
        <f t="shared" si="0"/>
        <v>25537.481238090866</v>
      </c>
    </row>
    <row r="11" spans="1:12" x14ac:dyDescent="0.5">
      <c r="A11">
        <v>-254387</v>
      </c>
      <c r="B11">
        <v>24.420884000000001</v>
      </c>
      <c r="C11">
        <v>1.5389440000000001E-2</v>
      </c>
      <c r="D11">
        <v>365.24216632899999</v>
      </c>
      <c r="E11">
        <v>365.241874069</v>
      </c>
      <c r="F11">
        <v>365.24218970499999</v>
      </c>
      <c r="G11">
        <v>365.24241179199998</v>
      </c>
      <c r="H11">
        <v>365.24218975000002</v>
      </c>
      <c r="I11">
        <v>365.25969176000001</v>
      </c>
      <c r="J11">
        <v>365.25969177500002</v>
      </c>
      <c r="K11">
        <v>365.25641153800001</v>
      </c>
      <c r="L11">
        <f t="shared" si="0"/>
        <v>25640.649536093242</v>
      </c>
    </row>
    <row r="12" spans="1:12" x14ac:dyDescent="0.5">
      <c r="A12">
        <v>-249170</v>
      </c>
      <c r="B12">
        <v>24.035136000000001</v>
      </c>
      <c r="C12">
        <v>1.6743600000000001E-2</v>
      </c>
      <c r="D12">
        <v>365.24218020199999</v>
      </c>
      <c r="E12">
        <v>365.24216999100003</v>
      </c>
      <c r="F12">
        <v>365.24192069499998</v>
      </c>
      <c r="G12">
        <v>365.24217310500001</v>
      </c>
      <c r="H12">
        <v>365.24245701699999</v>
      </c>
      <c r="I12">
        <v>365.259692401</v>
      </c>
      <c r="J12">
        <v>365.259692401</v>
      </c>
      <c r="K12">
        <v>365.25636027799999</v>
      </c>
      <c r="L12">
        <f t="shared" si="0"/>
        <v>25758.420496331535</v>
      </c>
    </row>
    <row r="13" spans="1:12" x14ac:dyDescent="0.5">
      <c r="A13">
        <v>-243953</v>
      </c>
      <c r="B13">
        <v>23.596174000000001</v>
      </c>
      <c r="C13">
        <v>1.5384470000000001E-2</v>
      </c>
      <c r="D13">
        <v>365.24219532699999</v>
      </c>
      <c r="E13">
        <v>365.24246978799999</v>
      </c>
      <c r="F13">
        <v>365.24218884099997</v>
      </c>
      <c r="G13">
        <v>365.24193388200001</v>
      </c>
      <c r="H13">
        <v>365.24218879599999</v>
      </c>
      <c r="I13">
        <v>365.25969238599998</v>
      </c>
      <c r="J13">
        <v>365.25969238599998</v>
      </c>
      <c r="K13">
        <v>365.25641129899998</v>
      </c>
      <c r="L13">
        <f t="shared" si="0"/>
        <v>25693.38285833038</v>
      </c>
    </row>
    <row r="14" spans="1:12" x14ac:dyDescent="0.5">
      <c r="A14">
        <v>-238736</v>
      </c>
      <c r="B14">
        <v>23.365655</v>
      </c>
      <c r="C14">
        <v>1.38984E-2</v>
      </c>
      <c r="D14">
        <v>365.24220282200002</v>
      </c>
      <c r="E14">
        <v>365.24221840500002</v>
      </c>
      <c r="F14">
        <v>365.24245743500001</v>
      </c>
      <c r="G14">
        <v>365.242214322</v>
      </c>
      <c r="H14">
        <v>365.24192112700001</v>
      </c>
      <c r="I14">
        <v>365.259692341</v>
      </c>
      <c r="J14">
        <v>365.25969235600002</v>
      </c>
      <c r="K14">
        <v>365.25646312499998</v>
      </c>
      <c r="L14">
        <f t="shared" si="0"/>
        <v>25613.513480469712</v>
      </c>
    </row>
    <row r="15" spans="1:12" x14ac:dyDescent="0.5">
      <c r="A15">
        <v>-233519</v>
      </c>
      <c r="B15">
        <v>23.455998000000001</v>
      </c>
      <c r="C15">
        <v>1.538925E-2</v>
      </c>
      <c r="D15">
        <v>365.242198691</v>
      </c>
      <c r="E15">
        <v>365.24194019999999</v>
      </c>
      <c r="F15">
        <v>365.24218931799999</v>
      </c>
      <c r="G15">
        <v>365.24247589700002</v>
      </c>
      <c r="H15">
        <v>365.24218934800001</v>
      </c>
      <c r="I15">
        <v>365.25969231099998</v>
      </c>
      <c r="J15">
        <v>365.25969231099998</v>
      </c>
      <c r="K15">
        <v>365.256414339</v>
      </c>
      <c r="L15">
        <f t="shared" si="0"/>
        <v>25693.96867022158</v>
      </c>
    </row>
    <row r="16" spans="1:12" x14ac:dyDescent="0.5">
      <c r="A16">
        <v>-228302</v>
      </c>
      <c r="B16">
        <v>23.766480000000001</v>
      </c>
      <c r="C16">
        <v>1.6743600000000001E-2</v>
      </c>
      <c r="D16">
        <v>365.242185775</v>
      </c>
      <c r="E16">
        <v>365.24217945300001</v>
      </c>
      <c r="F16">
        <v>365.24192112700001</v>
      </c>
      <c r="G16">
        <v>365.24218511599997</v>
      </c>
      <c r="H16">
        <v>365.24245740499998</v>
      </c>
      <c r="I16">
        <v>365.25969214700001</v>
      </c>
      <c r="J16">
        <v>365.25969214700001</v>
      </c>
      <c r="K16">
        <v>365.256364152</v>
      </c>
      <c r="L16">
        <f t="shared" si="0"/>
        <v>25761.507410319802</v>
      </c>
    </row>
    <row r="17" spans="1:12" x14ac:dyDescent="0.5">
      <c r="A17">
        <v>-223085</v>
      </c>
      <c r="B17">
        <v>24.04635</v>
      </c>
      <c r="C17">
        <v>1.538466E-2</v>
      </c>
      <c r="D17">
        <v>365.24217239799998</v>
      </c>
      <c r="E17">
        <v>365.24242383199999</v>
      </c>
      <c r="F17">
        <v>365.24218961600002</v>
      </c>
      <c r="G17">
        <v>365.24188652599997</v>
      </c>
      <c r="H17">
        <v>365.24218961600002</v>
      </c>
      <c r="I17">
        <v>365.25969274300002</v>
      </c>
      <c r="J17">
        <v>365.25969277299998</v>
      </c>
      <c r="K17">
        <v>365.25641271500001</v>
      </c>
      <c r="L17">
        <f t="shared" si="0"/>
        <v>25649.457994103122</v>
      </c>
    </row>
    <row r="18" spans="1:12" x14ac:dyDescent="0.5">
      <c r="A18">
        <v>-217868</v>
      </c>
      <c r="B18">
        <v>24.047644999999999</v>
      </c>
      <c r="C18">
        <v>1.38984E-2</v>
      </c>
      <c r="D18">
        <v>365.24216750599999</v>
      </c>
      <c r="E18">
        <v>365.24214702799998</v>
      </c>
      <c r="F18">
        <v>365.24245749400001</v>
      </c>
      <c r="G18">
        <v>365.24214433100002</v>
      </c>
      <c r="H18">
        <v>365.24192117199999</v>
      </c>
      <c r="I18">
        <v>365.259692341</v>
      </c>
      <c r="J18">
        <v>365.259692341</v>
      </c>
      <c r="K18">
        <v>365.25646093500001</v>
      </c>
      <c r="L18">
        <f t="shared" si="0"/>
        <v>25554.152256571393</v>
      </c>
    </row>
    <row r="19" spans="1:12" x14ac:dyDescent="0.5">
      <c r="A19">
        <v>-212651</v>
      </c>
      <c r="B19">
        <v>23.677671</v>
      </c>
      <c r="C19">
        <v>1.538906E-2</v>
      </c>
      <c r="D19">
        <v>365.24217512500002</v>
      </c>
      <c r="E19">
        <v>365.24189363400001</v>
      </c>
      <c r="F19">
        <v>365.24218806599998</v>
      </c>
      <c r="G19">
        <v>365.24243076099998</v>
      </c>
      <c r="H19">
        <v>365.24218803600002</v>
      </c>
      <c r="I19">
        <v>365.25969210300002</v>
      </c>
      <c r="J19">
        <v>365.25969210300002</v>
      </c>
      <c r="K19">
        <v>365.25640930200001</v>
      </c>
      <c r="L19">
        <f t="shared" si="0"/>
        <v>25660.5218062284</v>
      </c>
    </row>
    <row r="20" spans="1:12" x14ac:dyDescent="0.5">
      <c r="A20">
        <v>-207434</v>
      </c>
      <c r="B20">
        <v>23.061216999999999</v>
      </c>
      <c r="C20">
        <v>1.6743600000000001E-2</v>
      </c>
      <c r="D20">
        <v>365.24219165699998</v>
      </c>
      <c r="E20">
        <v>365.24219562100001</v>
      </c>
      <c r="F20">
        <v>365.24191930900002</v>
      </c>
      <c r="G20">
        <v>365.24219602300002</v>
      </c>
      <c r="H20">
        <v>365.24245567600002</v>
      </c>
      <c r="I20">
        <v>365.25969247500001</v>
      </c>
      <c r="J20">
        <v>365.25969247500001</v>
      </c>
      <c r="K20">
        <v>365.25635826600001</v>
      </c>
      <c r="L20">
        <f t="shared" si="0"/>
        <v>25782.906711497752</v>
      </c>
    </row>
    <row r="21" spans="1:12" x14ac:dyDescent="0.5">
      <c r="A21">
        <v>-202217</v>
      </c>
      <c r="B21">
        <v>22.475376000000001</v>
      </c>
      <c r="C21">
        <v>1.538485E-2</v>
      </c>
      <c r="D21">
        <v>365.24220835400001</v>
      </c>
      <c r="E21">
        <v>365.24249552200001</v>
      </c>
      <c r="F21">
        <v>365.24218879599999</v>
      </c>
      <c r="G21">
        <v>365.24196039100002</v>
      </c>
      <c r="H21">
        <v>365.24218870700003</v>
      </c>
      <c r="I21">
        <v>365.25969182</v>
      </c>
      <c r="J21">
        <v>365.25969182</v>
      </c>
      <c r="K21">
        <v>365.25640855699999</v>
      </c>
      <c r="L21">
        <f t="shared" si="0"/>
        <v>25721.914578100987</v>
      </c>
    </row>
    <row r="22" spans="1:12" x14ac:dyDescent="0.5">
      <c r="A22">
        <v>-197000</v>
      </c>
      <c r="B22">
        <v>22.194467</v>
      </c>
      <c r="C22">
        <v>1.38984E-2</v>
      </c>
      <c r="D22">
        <v>365.24221648999998</v>
      </c>
      <c r="E22">
        <v>365.24224486899999</v>
      </c>
      <c r="F22">
        <v>365.24245816500002</v>
      </c>
      <c r="G22">
        <v>365.242241025</v>
      </c>
      <c r="H22">
        <v>365.241921902</v>
      </c>
      <c r="I22">
        <v>365.259692535</v>
      </c>
      <c r="J22">
        <v>365.25969251999999</v>
      </c>
      <c r="K22">
        <v>365.25646068200001</v>
      </c>
      <c r="L22">
        <f t="shared" si="0"/>
        <v>25642.483664998286</v>
      </c>
    </row>
    <row r="23" spans="1:12" x14ac:dyDescent="0.5">
      <c r="A23">
        <v>-191783</v>
      </c>
      <c r="B23">
        <v>22.335277000000001</v>
      </c>
      <c r="C23">
        <v>1.5388860000000001E-2</v>
      </c>
      <c r="D23">
        <v>365.24221212399999</v>
      </c>
      <c r="E23">
        <v>365.241967246</v>
      </c>
      <c r="F23">
        <v>365.24218954100002</v>
      </c>
      <c r="G23">
        <v>365.242502108</v>
      </c>
      <c r="H23">
        <v>365.24218960100001</v>
      </c>
      <c r="I23">
        <v>365.25969307100002</v>
      </c>
      <c r="J23">
        <v>365.25969308600003</v>
      </c>
      <c r="K23">
        <v>365.25641422000001</v>
      </c>
      <c r="L23">
        <f t="shared" si="0"/>
        <v>25718.486498013925</v>
      </c>
    </row>
    <row r="24" spans="1:12" x14ac:dyDescent="0.5">
      <c r="A24">
        <v>-186566</v>
      </c>
      <c r="B24">
        <v>22.792767999999999</v>
      </c>
      <c r="C24">
        <v>1.6743600000000001E-2</v>
      </c>
      <c r="D24">
        <v>365.24219806100001</v>
      </c>
      <c r="E24">
        <v>365.24220371199999</v>
      </c>
      <c r="F24">
        <v>365.24192028499999</v>
      </c>
      <c r="G24">
        <v>365.24221163999999</v>
      </c>
      <c r="H24">
        <v>365.242456608</v>
      </c>
      <c r="I24">
        <v>365.259691976</v>
      </c>
      <c r="J24">
        <v>365.25969198299998</v>
      </c>
      <c r="K24">
        <v>365.25636757900003</v>
      </c>
      <c r="L24">
        <f t="shared" si="0"/>
        <v>25777.614141748672</v>
      </c>
    </row>
    <row r="25" spans="1:12" x14ac:dyDescent="0.5">
      <c r="A25">
        <v>-181349</v>
      </c>
      <c r="B25">
        <v>23.303540999999999</v>
      </c>
      <c r="C25">
        <v>1.5385039999999999E-2</v>
      </c>
      <c r="D25">
        <v>365.24218243000001</v>
      </c>
      <c r="E25">
        <v>365.24244469400003</v>
      </c>
      <c r="F25">
        <v>365.24218851299997</v>
      </c>
      <c r="G25">
        <v>365.24190806600001</v>
      </c>
      <c r="H25">
        <v>365.242188446</v>
      </c>
      <c r="I25">
        <v>365.25969216999999</v>
      </c>
      <c r="J25">
        <v>365.25969216999999</v>
      </c>
      <c r="K25">
        <v>365.25641851900002</v>
      </c>
      <c r="L25">
        <f t="shared" si="0"/>
        <v>25657.076077481805</v>
      </c>
    </row>
    <row r="26" spans="1:12" x14ac:dyDescent="0.5">
      <c r="A26">
        <v>-176132</v>
      </c>
      <c r="B26">
        <v>23.599737000000001</v>
      </c>
      <c r="C26">
        <v>1.38984E-2</v>
      </c>
      <c r="D26">
        <v>365.24217417800003</v>
      </c>
      <c r="E26">
        <v>365.242162608</v>
      </c>
      <c r="F26">
        <v>365.242457382</v>
      </c>
      <c r="G26">
        <v>365.24215564100001</v>
      </c>
      <c r="H26">
        <v>365.24192108199998</v>
      </c>
      <c r="I26">
        <v>365.25969242299999</v>
      </c>
      <c r="J26">
        <v>365.25969242299999</v>
      </c>
      <c r="K26">
        <v>365.256467015</v>
      </c>
      <c r="L26">
        <f t="shared" si="0"/>
        <v>25555.211118390609</v>
      </c>
    </row>
    <row r="27" spans="1:12" x14ac:dyDescent="0.5">
      <c r="A27">
        <v>-170915</v>
      </c>
      <c r="B27">
        <v>23.563236</v>
      </c>
      <c r="C27">
        <v>1.538867E-2</v>
      </c>
      <c r="D27">
        <v>365.24217772700001</v>
      </c>
      <c r="E27">
        <v>365.24189751599999</v>
      </c>
      <c r="F27">
        <v>365.24218940700001</v>
      </c>
      <c r="G27">
        <v>365.24243450900002</v>
      </c>
      <c r="H27">
        <v>365.24218947399999</v>
      </c>
      <c r="I27">
        <v>365.25969225199998</v>
      </c>
      <c r="J27">
        <v>365.25969225199998</v>
      </c>
      <c r="K27">
        <v>365.25641477099998</v>
      </c>
      <c r="L27">
        <f t="shared" si="0"/>
        <v>25655.354775315889</v>
      </c>
    </row>
    <row r="28" spans="1:12" x14ac:dyDescent="0.5">
      <c r="A28">
        <v>-165698</v>
      </c>
      <c r="B28">
        <v>23.29008</v>
      </c>
      <c r="C28">
        <v>1.6743600000000001E-2</v>
      </c>
      <c r="D28">
        <v>365.24219005200001</v>
      </c>
      <c r="E28">
        <v>365.24218826700002</v>
      </c>
      <c r="F28">
        <v>365.24192117199999</v>
      </c>
      <c r="G28">
        <v>365.24219330400001</v>
      </c>
      <c r="H28">
        <v>365.24245746399998</v>
      </c>
      <c r="I28">
        <v>365.25969242999997</v>
      </c>
      <c r="J28">
        <v>365.25969242299999</v>
      </c>
      <c r="K28">
        <v>365.25636376400001</v>
      </c>
      <c r="L28">
        <f t="shared" si="0"/>
        <v>25769.986279103061</v>
      </c>
    </row>
    <row r="29" spans="1:12" x14ac:dyDescent="0.5">
      <c r="A29">
        <v>-160481</v>
      </c>
      <c r="B29">
        <v>23.027785000000002</v>
      </c>
      <c r="C29">
        <v>1.538523E-2</v>
      </c>
      <c r="D29">
        <v>365.24220282599998</v>
      </c>
      <c r="E29">
        <v>365.24248387699998</v>
      </c>
      <c r="F29">
        <v>365.24218951199998</v>
      </c>
      <c r="G29">
        <v>365.24194842600002</v>
      </c>
      <c r="H29">
        <v>365.242189489</v>
      </c>
      <c r="I29">
        <v>365.25969211799998</v>
      </c>
      <c r="J29">
        <v>365.25969211799998</v>
      </c>
      <c r="K29">
        <v>365.25641503899999</v>
      </c>
      <c r="L29">
        <f t="shared" si="0"/>
        <v>25700.178785584387</v>
      </c>
    </row>
    <row r="30" spans="1:12" x14ac:dyDescent="0.5">
      <c r="A30">
        <v>-155264</v>
      </c>
      <c r="B30">
        <v>23.022819999999999</v>
      </c>
      <c r="C30">
        <v>1.38984E-2</v>
      </c>
      <c r="D30">
        <v>365.242207495</v>
      </c>
      <c r="E30">
        <v>365.24222942400002</v>
      </c>
      <c r="F30">
        <v>365.24245740499998</v>
      </c>
      <c r="G30">
        <v>365.242222056</v>
      </c>
      <c r="H30">
        <v>365.24192109699999</v>
      </c>
      <c r="I30">
        <v>365.259692438</v>
      </c>
      <c r="J30">
        <v>365.25969244499998</v>
      </c>
      <c r="K30">
        <v>365.25646777499998</v>
      </c>
      <c r="L30">
        <f t="shared" si="0"/>
        <v>25613.555117829132</v>
      </c>
    </row>
    <row r="31" spans="1:12" x14ac:dyDescent="0.5">
      <c r="A31">
        <v>-150047</v>
      </c>
      <c r="B31">
        <v>23.368241000000001</v>
      </c>
      <c r="C31">
        <v>1.538848E-2</v>
      </c>
      <c r="D31">
        <v>365.24220019799998</v>
      </c>
      <c r="E31">
        <v>365.24194443200003</v>
      </c>
      <c r="F31">
        <v>365.242188193</v>
      </c>
      <c r="G31">
        <v>365.24247996499997</v>
      </c>
      <c r="H31">
        <v>365.24218819999999</v>
      </c>
      <c r="I31">
        <v>365.25969226699999</v>
      </c>
      <c r="J31">
        <v>365.25969225900002</v>
      </c>
      <c r="K31">
        <v>365.256419994</v>
      </c>
      <c r="L31">
        <f t="shared" si="0"/>
        <v>25686.473982712407</v>
      </c>
    </row>
    <row r="32" spans="1:12" x14ac:dyDescent="0.5">
      <c r="A32">
        <v>-144830</v>
      </c>
      <c r="B32">
        <v>23.941417999999999</v>
      </c>
      <c r="C32">
        <v>1.6743600000000001E-2</v>
      </c>
      <c r="D32">
        <v>365.24218397800001</v>
      </c>
      <c r="E32">
        <v>365.24217536999998</v>
      </c>
      <c r="F32">
        <v>365.24191975600002</v>
      </c>
      <c r="G32">
        <v>365.24218467600002</v>
      </c>
      <c r="H32">
        <v>365.242456108</v>
      </c>
      <c r="I32">
        <v>365.25969196900002</v>
      </c>
      <c r="J32">
        <v>365.25969196099999</v>
      </c>
      <c r="K32">
        <v>365.25636945700001</v>
      </c>
      <c r="L32">
        <f t="shared" si="0"/>
        <v>25748.610213107972</v>
      </c>
    </row>
    <row r="33" spans="1:12" x14ac:dyDescent="0.5">
      <c r="A33">
        <v>-139613</v>
      </c>
      <c r="B33">
        <v>24.469004000000002</v>
      </c>
      <c r="C33">
        <v>1.538542E-2</v>
      </c>
      <c r="D33">
        <v>365.24216731299998</v>
      </c>
      <c r="E33">
        <v>365.24241422900002</v>
      </c>
      <c r="F33">
        <v>365.24218922900002</v>
      </c>
      <c r="G33">
        <v>365.24187664700003</v>
      </c>
      <c r="H33">
        <v>365.24218914699998</v>
      </c>
      <c r="I33">
        <v>365.25969307100002</v>
      </c>
      <c r="J33">
        <v>365.25969307100002</v>
      </c>
      <c r="K33">
        <v>365.25641588899998</v>
      </c>
      <c r="L33">
        <f t="shared" si="0"/>
        <v>25634.590845358936</v>
      </c>
    </row>
    <row r="34" spans="1:12" x14ac:dyDescent="0.5">
      <c r="A34">
        <v>-134396</v>
      </c>
      <c r="B34">
        <v>24.681678000000002</v>
      </c>
      <c r="C34">
        <v>1.38984E-2</v>
      </c>
      <c r="D34">
        <v>365.24215957000001</v>
      </c>
      <c r="E34">
        <v>365.24213172499998</v>
      </c>
      <c r="F34">
        <v>365.242458269</v>
      </c>
      <c r="G34">
        <v>365.24212629300001</v>
      </c>
      <c r="H34">
        <v>365.24192199100003</v>
      </c>
      <c r="I34">
        <v>365.25969256500002</v>
      </c>
      <c r="J34">
        <v>365.25969257200001</v>
      </c>
      <c r="K34">
        <v>365.25646167999997</v>
      </c>
      <c r="L34">
        <f t="shared" si="0"/>
        <v>25538.641618685622</v>
      </c>
    </row>
    <row r="35" spans="1:12" x14ac:dyDescent="0.5">
      <c r="A35">
        <v>-129179</v>
      </c>
      <c r="B35">
        <v>24.468482000000002</v>
      </c>
      <c r="C35">
        <v>1.5388290000000001E-2</v>
      </c>
      <c r="D35">
        <v>365.24216522299997</v>
      </c>
      <c r="E35">
        <v>365.24187232600002</v>
      </c>
      <c r="F35">
        <v>365.24218922900002</v>
      </c>
      <c r="G35">
        <v>365.242410108</v>
      </c>
      <c r="H35">
        <v>365.24218922900002</v>
      </c>
      <c r="I35">
        <v>365.25969175199998</v>
      </c>
      <c r="J35">
        <v>365.25969176000001</v>
      </c>
      <c r="K35">
        <v>365.25640899699999</v>
      </c>
      <c r="L35">
        <f t="shared" si="0"/>
        <v>25643.232544720206</v>
      </c>
    </row>
    <row r="36" spans="1:12" x14ac:dyDescent="0.5">
      <c r="A36">
        <v>-123962</v>
      </c>
      <c r="B36">
        <v>23.940646000000001</v>
      </c>
      <c r="C36">
        <v>1.6743600000000001E-2</v>
      </c>
      <c r="D36">
        <v>365.24218090599999</v>
      </c>
      <c r="E36">
        <v>365.24217328399999</v>
      </c>
      <c r="F36">
        <v>365.24191977100003</v>
      </c>
      <c r="G36">
        <v>365.24217444700002</v>
      </c>
      <c r="H36">
        <v>365.24245612300001</v>
      </c>
      <c r="I36">
        <v>365.25969245300001</v>
      </c>
      <c r="J36">
        <v>365.259692438</v>
      </c>
      <c r="K36">
        <v>365.25635853400001</v>
      </c>
      <c r="L36">
        <f t="shared" si="0"/>
        <v>25762.867987035581</v>
      </c>
    </row>
    <row r="37" spans="1:12" x14ac:dyDescent="0.5">
      <c r="A37">
        <v>-118745</v>
      </c>
      <c r="B37">
        <v>23.367604</v>
      </c>
      <c r="C37">
        <v>1.5385609999999999E-2</v>
      </c>
      <c r="D37">
        <v>365.24219768099999</v>
      </c>
      <c r="E37">
        <v>365.242475055</v>
      </c>
      <c r="F37">
        <v>365.242188215</v>
      </c>
      <c r="G37">
        <v>365.24193931399998</v>
      </c>
      <c r="H37">
        <v>365.24218814099999</v>
      </c>
      <c r="I37">
        <v>365.25969220000002</v>
      </c>
      <c r="J37">
        <v>365.25969221399998</v>
      </c>
      <c r="K37">
        <v>365.25640974200002</v>
      </c>
      <c r="L37">
        <f t="shared" si="0"/>
        <v>25700.453279886671</v>
      </c>
    </row>
    <row r="38" spans="1:12" x14ac:dyDescent="0.5">
      <c r="A38">
        <v>-113528</v>
      </c>
      <c r="B38">
        <v>23.022599</v>
      </c>
      <c r="C38">
        <v>1.38984E-2</v>
      </c>
      <c r="D38">
        <v>365.24220662900001</v>
      </c>
      <c r="E38">
        <v>365.24222534099999</v>
      </c>
      <c r="F38">
        <v>365.242457382</v>
      </c>
      <c r="G38">
        <v>365.24222271100001</v>
      </c>
      <c r="H38">
        <v>365.24192108199998</v>
      </c>
      <c r="I38">
        <v>365.259692304</v>
      </c>
      <c r="J38">
        <v>365.259692304</v>
      </c>
      <c r="K38">
        <v>365.25646148599998</v>
      </c>
      <c r="L38">
        <f t="shared" si="0"/>
        <v>25623.298885902175</v>
      </c>
    </row>
    <row r="39" spans="1:12" x14ac:dyDescent="0.5">
      <c r="A39">
        <v>-108311</v>
      </c>
      <c r="B39">
        <v>23.027998</v>
      </c>
      <c r="C39">
        <v>1.53881E-2</v>
      </c>
      <c r="D39">
        <v>365.24220369</v>
      </c>
      <c r="E39">
        <v>365.24195012500002</v>
      </c>
      <c r="F39">
        <v>365.24218951900002</v>
      </c>
      <c r="G39">
        <v>365.24248553799998</v>
      </c>
      <c r="H39">
        <v>365.24218957900001</v>
      </c>
      <c r="I39">
        <v>365.25969260199997</v>
      </c>
      <c r="J39">
        <v>365.25969260199997</v>
      </c>
      <c r="K39">
        <v>365.25641304999999</v>
      </c>
      <c r="L39">
        <f t="shared" si="0"/>
        <v>25705.338808371467</v>
      </c>
    </row>
    <row r="40" spans="1:12" x14ac:dyDescent="0.5">
      <c r="A40">
        <v>-103094</v>
      </c>
      <c r="B40">
        <v>23.290483999999999</v>
      </c>
      <c r="C40">
        <v>1.6743600000000001E-2</v>
      </c>
      <c r="D40">
        <v>365.24219164300001</v>
      </c>
      <c r="E40">
        <v>365.24219140399998</v>
      </c>
      <c r="F40">
        <v>365.24192117199999</v>
      </c>
      <c r="G40">
        <v>365.24219651499999</v>
      </c>
      <c r="H40">
        <v>365.242457479</v>
      </c>
      <c r="I40">
        <v>365.25969217699998</v>
      </c>
      <c r="J40">
        <v>365.25969216999999</v>
      </c>
      <c r="K40">
        <v>365.25636390599999</v>
      </c>
      <c r="L40">
        <f t="shared" si="0"/>
        <v>25772.621063169379</v>
      </c>
    </row>
    <row r="41" spans="1:12" x14ac:dyDescent="0.5">
      <c r="A41">
        <v>-97877</v>
      </c>
      <c r="B41">
        <v>23.563476999999999</v>
      </c>
      <c r="C41">
        <v>1.53858E-2</v>
      </c>
      <c r="D41">
        <v>365.24217865399999</v>
      </c>
      <c r="E41">
        <v>365.24243637900003</v>
      </c>
      <c r="F41">
        <v>365.24218941499998</v>
      </c>
      <c r="G41">
        <v>365.24189944599999</v>
      </c>
      <c r="H41">
        <v>365.24218937799998</v>
      </c>
      <c r="I41">
        <v>365.25969245300001</v>
      </c>
      <c r="J41">
        <v>365.259692438</v>
      </c>
      <c r="K41">
        <v>365.256413549</v>
      </c>
      <c r="L41">
        <f t="shared" si="0"/>
        <v>25659.227802425095</v>
      </c>
    </row>
    <row r="42" spans="1:12" x14ac:dyDescent="0.5">
      <c r="A42">
        <v>-92660</v>
      </c>
      <c r="B42">
        <v>23.599568000000001</v>
      </c>
      <c r="C42">
        <v>1.38984E-2</v>
      </c>
      <c r="D42">
        <v>365.24217350499998</v>
      </c>
      <c r="E42">
        <v>365.242159426</v>
      </c>
      <c r="F42">
        <v>365.24245740499998</v>
      </c>
      <c r="G42">
        <v>365.24215608499998</v>
      </c>
      <c r="H42">
        <v>365.24192110400003</v>
      </c>
      <c r="I42">
        <v>365.25969231900001</v>
      </c>
      <c r="J42">
        <v>365.25969232199998</v>
      </c>
      <c r="K42">
        <v>365.25646218999998</v>
      </c>
      <c r="L42">
        <f t="shared" si="0"/>
        <v>25562.636603024119</v>
      </c>
    </row>
    <row r="43" spans="1:12" x14ac:dyDescent="0.5">
      <c r="A43">
        <v>-87443</v>
      </c>
      <c r="B43">
        <v>23.302976000000001</v>
      </c>
      <c r="C43">
        <v>1.5387909999999999E-2</v>
      </c>
      <c r="D43">
        <v>365.242180211</v>
      </c>
      <c r="E43">
        <v>365.24190348799999</v>
      </c>
      <c r="F43">
        <v>365.24218851000001</v>
      </c>
      <c r="G43">
        <v>365.242440321</v>
      </c>
      <c r="H43">
        <v>365.24218852400003</v>
      </c>
      <c r="I43">
        <v>365.259692315</v>
      </c>
      <c r="J43">
        <v>365.25969231099998</v>
      </c>
      <c r="K43">
        <v>365.256410383</v>
      </c>
      <c r="L43">
        <f t="shared" si="0"/>
        <v>25667.743888342135</v>
      </c>
    </row>
    <row r="44" spans="1:12" x14ac:dyDescent="0.5">
      <c r="A44">
        <v>-82226</v>
      </c>
      <c r="B44">
        <v>22.792081</v>
      </c>
      <c r="C44">
        <v>1.6743600000000001E-2</v>
      </c>
      <c r="D44">
        <v>365.242195374</v>
      </c>
      <c r="E44">
        <v>365.242201325</v>
      </c>
      <c r="F44">
        <v>365.24192026600002</v>
      </c>
      <c r="G44">
        <v>365.24220330600002</v>
      </c>
      <c r="H44">
        <v>365.24245660000003</v>
      </c>
      <c r="I44">
        <v>365.25969241199999</v>
      </c>
      <c r="J44">
        <v>365.25969240799998</v>
      </c>
      <c r="K44">
        <v>365.25635918199998</v>
      </c>
      <c r="L44">
        <f t="shared" si="0"/>
        <v>25788.005540781709</v>
      </c>
    </row>
    <row r="45" spans="1:12" x14ac:dyDescent="0.5">
      <c r="A45">
        <v>-77009</v>
      </c>
      <c r="B45">
        <v>22.334848000000001</v>
      </c>
      <c r="C45">
        <v>1.5386E-2</v>
      </c>
      <c r="D45">
        <v>365.242210446</v>
      </c>
      <c r="E45">
        <v>365.242498856</v>
      </c>
      <c r="F45">
        <v>365.24218955999999</v>
      </c>
      <c r="G45">
        <v>365.24196386300002</v>
      </c>
      <c r="H45">
        <v>365.24218950400001</v>
      </c>
      <c r="I45">
        <v>365.25969173800001</v>
      </c>
      <c r="J45">
        <v>365.259691734</v>
      </c>
      <c r="K45">
        <v>365.25641000600001</v>
      </c>
      <c r="L45">
        <f t="shared" si="0"/>
        <v>25723.079447939039</v>
      </c>
    </row>
    <row r="46" spans="1:12" x14ac:dyDescent="0.5">
      <c r="A46">
        <v>-71792</v>
      </c>
      <c r="B46">
        <v>22.194558000000001</v>
      </c>
      <c r="C46">
        <v>1.38984E-2</v>
      </c>
      <c r="D46">
        <v>365.24221685200001</v>
      </c>
      <c r="E46">
        <v>365.24224654199998</v>
      </c>
      <c r="F46">
        <v>365.24245819100003</v>
      </c>
      <c r="G46">
        <v>365.24224076399997</v>
      </c>
      <c r="H46">
        <v>365.24192190899998</v>
      </c>
      <c r="I46">
        <v>365.259692583</v>
      </c>
      <c r="J46">
        <v>365.25969257999998</v>
      </c>
      <c r="K46">
        <v>365.25646328200003</v>
      </c>
      <c r="L46">
        <f t="shared" si="0"/>
        <v>25638.455618820633</v>
      </c>
    </row>
    <row r="47" spans="1:12" x14ac:dyDescent="0.5">
      <c r="A47">
        <v>-66575</v>
      </c>
      <c r="B47">
        <v>22.475981000000001</v>
      </c>
      <c r="C47">
        <v>1.5387720000000001E-2</v>
      </c>
      <c r="D47">
        <v>365.242210704</v>
      </c>
      <c r="E47">
        <v>365.24196517799999</v>
      </c>
      <c r="F47">
        <v>365.24218880400002</v>
      </c>
      <c r="G47">
        <v>365.24250007400002</v>
      </c>
      <c r="H47">
        <v>365.24218875899999</v>
      </c>
      <c r="I47">
        <v>365.25969300000003</v>
      </c>
      <c r="J47">
        <v>365.25969298199999</v>
      </c>
      <c r="K47">
        <v>365.256417844</v>
      </c>
      <c r="L47">
        <f t="shared" si="0"/>
        <v>25709.355848122425</v>
      </c>
    </row>
    <row r="48" spans="1:12" x14ac:dyDescent="0.5">
      <c r="A48">
        <v>-61358</v>
      </c>
      <c r="B48">
        <v>23.062055999999998</v>
      </c>
      <c r="C48">
        <v>1.6743600000000001E-2</v>
      </c>
      <c r="D48">
        <v>365.242194944</v>
      </c>
      <c r="E48">
        <v>365.24219756899998</v>
      </c>
      <c r="F48">
        <v>365.24191930500001</v>
      </c>
      <c r="G48">
        <v>365.24220722899997</v>
      </c>
      <c r="H48">
        <v>365.24245567200001</v>
      </c>
      <c r="I48">
        <v>365.259691954</v>
      </c>
      <c r="J48">
        <v>365.25969195699997</v>
      </c>
      <c r="K48">
        <v>365.256371129</v>
      </c>
      <c r="L48">
        <f t="shared" si="0"/>
        <v>25765.491289023601</v>
      </c>
    </row>
    <row r="49" spans="1:12" x14ac:dyDescent="0.5">
      <c r="A49">
        <v>-56141</v>
      </c>
      <c r="B49">
        <v>23.678353000000001</v>
      </c>
      <c r="C49">
        <v>1.5386189999999999E-2</v>
      </c>
      <c r="D49">
        <v>365.242177809</v>
      </c>
      <c r="E49">
        <v>365.24243606300001</v>
      </c>
      <c r="F49">
        <v>365.24218802500002</v>
      </c>
      <c r="G49">
        <v>365.24189919600002</v>
      </c>
      <c r="H49">
        <v>365.24218795100001</v>
      </c>
      <c r="I49">
        <v>365.259692449</v>
      </c>
      <c r="J49">
        <v>365.25969244200002</v>
      </c>
      <c r="K49">
        <v>365.25642080599999</v>
      </c>
      <c r="L49">
        <f t="shared" si="0"/>
        <v>25644.632292352933</v>
      </c>
    </row>
    <row r="50" spans="1:12" x14ac:dyDescent="0.5">
      <c r="A50">
        <v>-50924</v>
      </c>
      <c r="B50">
        <v>24.047885000000001</v>
      </c>
      <c r="C50">
        <v>1.38984E-2</v>
      </c>
      <c r="D50">
        <v>365.24216847399998</v>
      </c>
      <c r="E50">
        <v>365.24215156600002</v>
      </c>
      <c r="F50">
        <v>365.242457468</v>
      </c>
      <c r="G50">
        <v>365.24214369800001</v>
      </c>
      <c r="H50">
        <v>365.24192116400002</v>
      </c>
      <c r="I50">
        <v>365.25969248299998</v>
      </c>
      <c r="J50">
        <v>365.25969247900002</v>
      </c>
      <c r="K50">
        <v>365.25646773</v>
      </c>
      <c r="L50">
        <f t="shared" si="0"/>
        <v>25543.739319696808</v>
      </c>
    </row>
    <row r="51" spans="1:12" x14ac:dyDescent="0.5">
      <c r="A51">
        <v>-45707</v>
      </c>
      <c r="B51">
        <v>24.046126999999998</v>
      </c>
      <c r="C51">
        <v>1.538753E-2</v>
      </c>
      <c r="D51">
        <v>365.24217152900002</v>
      </c>
      <c r="E51">
        <v>365.24188472100002</v>
      </c>
      <c r="F51">
        <v>365.242189618</v>
      </c>
      <c r="G51">
        <v>365.242422089</v>
      </c>
      <c r="H51">
        <v>365.24218968899999</v>
      </c>
      <c r="I51">
        <v>365.25969197400002</v>
      </c>
      <c r="J51">
        <v>365.25969197000001</v>
      </c>
      <c r="K51">
        <v>365.25641445600002</v>
      </c>
      <c r="L51">
        <f t="shared" si="0"/>
        <v>25644.75788270573</v>
      </c>
    </row>
    <row r="52" spans="1:12" x14ac:dyDescent="0.5">
      <c r="A52">
        <v>-40490</v>
      </c>
      <c r="B52">
        <v>23.766038999999999</v>
      </c>
      <c r="C52">
        <v>1.6743600000000001E-2</v>
      </c>
      <c r="D52">
        <v>365.24218402399998</v>
      </c>
      <c r="E52">
        <v>365.24217641000001</v>
      </c>
      <c r="F52">
        <v>365.24192111799999</v>
      </c>
      <c r="G52">
        <v>365.24218114799999</v>
      </c>
      <c r="H52">
        <v>365.24245741999999</v>
      </c>
      <c r="I52">
        <v>365.259692417</v>
      </c>
      <c r="J52">
        <v>365.25969241600001</v>
      </c>
      <c r="K52">
        <v>365.25636297800003</v>
      </c>
      <c r="L52">
        <f t="shared" si="0"/>
        <v>25760.458985680652</v>
      </c>
    </row>
    <row r="53" spans="1:12" x14ac:dyDescent="0.5">
      <c r="A53">
        <v>-35273</v>
      </c>
      <c r="B53">
        <v>23.455698000000002</v>
      </c>
      <c r="C53">
        <v>1.538638E-2</v>
      </c>
      <c r="D53">
        <v>365.24219747900003</v>
      </c>
      <c r="E53">
        <v>365.24247355799997</v>
      </c>
      <c r="F53">
        <v>365.24218931000001</v>
      </c>
      <c r="G53">
        <v>365.24193779799998</v>
      </c>
      <c r="H53">
        <v>365.24218925100001</v>
      </c>
      <c r="I53">
        <v>365.25969235600002</v>
      </c>
      <c r="J53">
        <v>365.25969236200001</v>
      </c>
      <c r="K53">
        <v>365.25641380799999</v>
      </c>
      <c r="L53">
        <f t="shared" si="0"/>
        <v>25692.73782345041</v>
      </c>
    </row>
    <row r="54" spans="1:12" x14ac:dyDescent="0.5">
      <c r="A54">
        <v>-30056</v>
      </c>
      <c r="B54">
        <v>23.365746000000001</v>
      </c>
      <c r="C54">
        <v>1.38984E-2</v>
      </c>
      <c r="D54">
        <v>365.24220319300002</v>
      </c>
      <c r="E54">
        <v>365.24222012199999</v>
      </c>
      <c r="F54">
        <v>365.24245745500002</v>
      </c>
      <c r="G54">
        <v>365.24221404500003</v>
      </c>
      <c r="H54">
        <v>365.24192114900001</v>
      </c>
      <c r="I54">
        <v>365.259692395</v>
      </c>
      <c r="J54">
        <v>365.25969239699998</v>
      </c>
      <c r="K54">
        <v>365.25646571999999</v>
      </c>
      <c r="L54">
        <f t="shared" si="0"/>
        <v>25609.519667919798</v>
      </c>
    </row>
    <row r="55" spans="1:12" x14ac:dyDescent="0.5">
      <c r="A55">
        <v>-24839</v>
      </c>
      <c r="B55">
        <v>23.596648999999999</v>
      </c>
      <c r="C55">
        <v>1.5387339999999999E-2</v>
      </c>
      <c r="D55">
        <v>365.24219722599997</v>
      </c>
      <c r="E55">
        <v>365.241937721</v>
      </c>
      <c r="F55">
        <v>365.24218883999998</v>
      </c>
      <c r="G55">
        <v>365.24247347400001</v>
      </c>
      <c r="H55">
        <v>365.24218886800003</v>
      </c>
      <c r="I55">
        <v>365.25969214399998</v>
      </c>
      <c r="J55">
        <v>365.25969214700001</v>
      </c>
      <c r="K55">
        <v>365.25641688899998</v>
      </c>
      <c r="L55">
        <f t="shared" si="0"/>
        <v>25686.714016278154</v>
      </c>
    </row>
    <row r="56" spans="1:12" x14ac:dyDescent="0.5">
      <c r="A56">
        <v>-19622</v>
      </c>
      <c r="B56">
        <v>24.035729</v>
      </c>
      <c r="C56">
        <v>1.6743600000000001E-2</v>
      </c>
      <c r="D56">
        <v>365.24218256900002</v>
      </c>
      <c r="E56">
        <v>365.24217259900001</v>
      </c>
      <c r="F56">
        <v>365.24192069200001</v>
      </c>
      <c r="G56">
        <v>365.24217997699998</v>
      </c>
      <c r="H56">
        <v>365.24245700799997</v>
      </c>
      <c r="I56">
        <v>365.25969203199998</v>
      </c>
      <c r="J56">
        <v>365.25969203800003</v>
      </c>
      <c r="K56">
        <v>365.25636593799999</v>
      </c>
      <c r="L56">
        <f t="shared" si="0"/>
        <v>25752.44047721539</v>
      </c>
    </row>
    <row r="57" spans="1:12" x14ac:dyDescent="0.5">
      <c r="A57">
        <v>-14405</v>
      </c>
      <c r="B57">
        <v>24.421223999999999</v>
      </c>
      <c r="C57">
        <v>1.538657E-2</v>
      </c>
      <c r="D57">
        <v>365.24216767199999</v>
      </c>
      <c r="E57">
        <v>365.24241445400003</v>
      </c>
      <c r="F57">
        <v>365.24218970700002</v>
      </c>
      <c r="G57">
        <v>365.24187684899999</v>
      </c>
      <c r="H57">
        <v>365.24218968000002</v>
      </c>
      <c r="I57">
        <v>365.25969301100002</v>
      </c>
      <c r="J57">
        <v>365.259693013</v>
      </c>
      <c r="K57">
        <v>365.25641314000001</v>
      </c>
      <c r="L57">
        <f t="shared" si="0"/>
        <v>25640.183470256761</v>
      </c>
    </row>
    <row r="58" spans="1:12" x14ac:dyDescent="0.5">
      <c r="A58">
        <v>-9188</v>
      </c>
      <c r="B58">
        <v>24.496010999999999</v>
      </c>
      <c r="C58">
        <v>1.38984E-2</v>
      </c>
      <c r="D58">
        <v>365.24216170800003</v>
      </c>
      <c r="E58">
        <v>365.24213536600001</v>
      </c>
      <c r="F58">
        <v>365.242457962</v>
      </c>
      <c r="G58">
        <v>365.24213183299997</v>
      </c>
      <c r="H58">
        <v>365.24192167199999</v>
      </c>
      <c r="I58">
        <v>365.259692454</v>
      </c>
      <c r="J58">
        <v>365.25969245599998</v>
      </c>
      <c r="K58">
        <v>365.25646032600002</v>
      </c>
      <c r="L58">
        <f t="shared" si="0"/>
        <v>25544.878555819272</v>
      </c>
    </row>
    <row r="59" spans="1:12" x14ac:dyDescent="0.5">
      <c r="A59">
        <v>-3971</v>
      </c>
      <c r="B59">
        <v>24.160917999999999</v>
      </c>
      <c r="C59">
        <v>1.5387140000000001E-2</v>
      </c>
      <c r="D59">
        <v>365.24216890000002</v>
      </c>
      <c r="E59">
        <v>365.24188067</v>
      </c>
      <c r="F59">
        <v>365.24218838600001</v>
      </c>
      <c r="G59">
        <v>365.242418198</v>
      </c>
      <c r="H59">
        <v>365.24218834700002</v>
      </c>
      <c r="I59">
        <v>365.25969190500001</v>
      </c>
      <c r="J59">
        <v>365.25969191199999</v>
      </c>
      <c r="K59">
        <v>365.25640862500001</v>
      </c>
      <c r="L59">
        <f t="shared" si="0"/>
        <v>25650.524053341545</v>
      </c>
    </row>
    <row r="60" spans="1:12" x14ac:dyDescent="0.5">
      <c r="A60">
        <v>1246</v>
      </c>
      <c r="B60">
        <v>23.537579000000001</v>
      </c>
      <c r="C60">
        <v>1.6743600000000001E-2</v>
      </c>
      <c r="D60">
        <v>365.24218567100002</v>
      </c>
      <c r="E60">
        <v>365.24218409899999</v>
      </c>
      <c r="F60">
        <v>365.24191904100002</v>
      </c>
      <c r="G60">
        <v>365.24218413199998</v>
      </c>
      <c r="H60">
        <v>365.24245541200003</v>
      </c>
      <c r="I60">
        <v>365.25969249600001</v>
      </c>
      <c r="J60">
        <v>365.25969249899998</v>
      </c>
      <c r="K60">
        <v>365.25635821499998</v>
      </c>
      <c r="L60">
        <f t="shared" si="0"/>
        <v>25772.10966612515</v>
      </c>
    </row>
    <row r="61" spans="1:12" x14ac:dyDescent="0.5">
      <c r="A61">
        <v>6463</v>
      </c>
      <c r="B61">
        <v>22.903604999999999</v>
      </c>
      <c r="C61">
        <v>1.538671E-2</v>
      </c>
      <c r="D61">
        <v>365.24220308500003</v>
      </c>
      <c r="E61">
        <v>365.242485827</v>
      </c>
      <c r="F61">
        <v>365.24218809799999</v>
      </c>
      <c r="G61">
        <v>365.241950411</v>
      </c>
      <c r="H61">
        <v>365.242188005</v>
      </c>
      <c r="I61">
        <v>365.25969200399999</v>
      </c>
      <c r="J61">
        <v>365.25969200399999</v>
      </c>
      <c r="K61">
        <v>365.25640891500001</v>
      </c>
      <c r="L61">
        <f t="shared" si="0"/>
        <v>25711.726024843738</v>
      </c>
    </row>
    <row r="62" spans="1:12" x14ac:dyDescent="0.5">
      <c r="A62">
        <v>11680</v>
      </c>
      <c r="B62">
        <v>22.537552000000002</v>
      </c>
      <c r="C62">
        <v>1.38984E-2</v>
      </c>
      <c r="D62">
        <v>365.24221229099999</v>
      </c>
      <c r="E62">
        <v>365.24223631400002</v>
      </c>
      <c r="F62">
        <v>365.24245768899999</v>
      </c>
      <c r="G62">
        <v>365.24223377099997</v>
      </c>
      <c r="H62">
        <v>365.24192139100001</v>
      </c>
      <c r="I62">
        <v>365.25969239</v>
      </c>
      <c r="J62">
        <v>365.25969238300002</v>
      </c>
      <c r="K62">
        <v>365.25646048099998</v>
      </c>
      <c r="L62">
        <f t="shared" si="0"/>
        <v>25635.288445849848</v>
      </c>
    </row>
    <row r="63" spans="1:12" x14ac:dyDescent="0.5">
      <c r="A63">
        <v>16897</v>
      </c>
      <c r="B63">
        <v>22.563690000000001</v>
      </c>
      <c r="C63">
        <v>1.5387100000000001E-2</v>
      </c>
      <c r="D63">
        <v>365.24220923899998</v>
      </c>
      <c r="E63">
        <v>365.24196120400001</v>
      </c>
      <c r="F63">
        <v>365.24218970599998</v>
      </c>
      <c r="G63">
        <v>365.24249627099999</v>
      </c>
      <c r="H63">
        <v>365.24218977499999</v>
      </c>
      <c r="I63">
        <v>365.25969290199998</v>
      </c>
      <c r="J63">
        <v>365.25969289900002</v>
      </c>
      <c r="K63">
        <v>365.25641270099999</v>
      </c>
      <c r="L63">
        <f t="shared" si="0"/>
        <v>25716.012948159918</v>
      </c>
    </row>
    <row r="64" spans="1:12" x14ac:dyDescent="0.5">
      <c r="A64">
        <v>22114</v>
      </c>
      <c r="B64">
        <v>22.886987999999999</v>
      </c>
      <c r="C64">
        <v>1.6743600000000001E-2</v>
      </c>
      <c r="D64">
        <v>365.24219670000002</v>
      </c>
      <c r="E64">
        <v>365.24220124800001</v>
      </c>
      <c r="F64">
        <v>365.24192097000002</v>
      </c>
      <c r="G64">
        <v>365.242207302</v>
      </c>
      <c r="H64">
        <v>365.24245727800002</v>
      </c>
      <c r="I64">
        <v>365.25969208599997</v>
      </c>
      <c r="J64">
        <v>365.25969208800001</v>
      </c>
      <c r="K64">
        <v>365.25636479399998</v>
      </c>
      <c r="L64">
        <f t="shared" si="0"/>
        <v>25780.204789376348</v>
      </c>
    </row>
    <row r="65" spans="1:12" x14ac:dyDescent="0.5">
      <c r="A65">
        <v>27331</v>
      </c>
      <c r="B65">
        <v>23.255648999999998</v>
      </c>
      <c r="C65">
        <v>1.538671E-2</v>
      </c>
      <c r="D65">
        <v>365.24218277199998</v>
      </c>
      <c r="E65">
        <v>365.242444783</v>
      </c>
      <c r="F65">
        <v>365.24218912600003</v>
      </c>
      <c r="G65">
        <v>365.24190811599999</v>
      </c>
      <c r="H65">
        <v>365.24218906300001</v>
      </c>
      <c r="I65">
        <v>365.259692196</v>
      </c>
      <c r="J65">
        <v>365.25969219799998</v>
      </c>
      <c r="K65">
        <v>365.25641541200002</v>
      </c>
      <c r="L65">
        <f t="shared" si="0"/>
        <v>25663.293346197792</v>
      </c>
    </row>
    <row r="66" spans="1:12" x14ac:dyDescent="0.5">
      <c r="A66">
        <v>32548</v>
      </c>
      <c r="B66">
        <v>23.413979999999999</v>
      </c>
      <c r="C66">
        <v>1.38984E-2</v>
      </c>
      <c r="D66">
        <v>365.242176245</v>
      </c>
      <c r="E66">
        <v>365.24216571300002</v>
      </c>
      <c r="F66">
        <v>365.242457479</v>
      </c>
      <c r="G66">
        <v>365.242160609</v>
      </c>
      <c r="H66">
        <v>365.24192117699999</v>
      </c>
      <c r="I66">
        <v>365.25969236700001</v>
      </c>
      <c r="J66">
        <v>365.25969237100003</v>
      </c>
      <c r="K66">
        <v>365.25646432500002</v>
      </c>
      <c r="L66">
        <f t="shared" si="0"/>
        <v>25563.719150807705</v>
      </c>
    </row>
  </sheetData>
  <pageMargins left="0.7" right="0.7" top="0.75" bottom="0.75" header="0.3" footer="0.3"/>
  <pageSetup paperSize="9" orientation="portrait" r:id="rId1"/>
  <ignoredErrors>
    <ignoredError sqref="C1:K1 A5:A66 A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7"/>
  <sheetViews>
    <sheetView tabSelected="1" workbookViewId="0">
      <selection activeCell="D16" sqref="D16"/>
    </sheetView>
  </sheetViews>
  <sheetFormatPr defaultRowHeight="15.75" x14ac:dyDescent="0.5"/>
  <cols>
    <col min="1" max="1" width="9.4375" bestFit="1" customWidth="1"/>
    <col min="2" max="2" width="17.9375" bestFit="1" customWidth="1"/>
    <col min="8" max="8" width="9.4375" bestFit="1" customWidth="1"/>
    <col min="9" max="9" width="23.9375" bestFit="1" customWidth="1"/>
    <col min="13" max="13" width="9.4375" bestFit="1" customWidth="1"/>
    <col min="14" max="14" width="26.8125" bestFit="1" customWidth="1"/>
    <col min="18" max="18" width="9.4375" bestFit="1" customWidth="1"/>
    <col min="19" max="19" width="17" bestFit="1" customWidth="1"/>
  </cols>
  <sheetData>
    <row r="1" spans="1:19" x14ac:dyDescent="0.5">
      <c r="A1" s="1" t="s">
        <v>72</v>
      </c>
      <c r="B1" t="s">
        <v>74</v>
      </c>
      <c r="H1" s="1" t="s">
        <v>72</v>
      </c>
      <c r="I1" t="s">
        <v>75</v>
      </c>
      <c r="M1" s="1" t="s">
        <v>72</v>
      </c>
      <c r="N1" t="s">
        <v>76</v>
      </c>
      <c r="R1" s="1" t="s">
        <v>72</v>
      </c>
      <c r="S1" t="s">
        <v>78</v>
      </c>
    </row>
    <row r="2" spans="1:19" x14ac:dyDescent="0.5">
      <c r="A2" s="2">
        <v>-301340</v>
      </c>
      <c r="B2">
        <v>23.413979999999999</v>
      </c>
      <c r="H2" s="2">
        <v>-301340</v>
      </c>
      <c r="I2">
        <v>365.24217624200003</v>
      </c>
      <c r="M2" s="2">
        <v>-301340</v>
      </c>
      <c r="N2">
        <v>365.25646433200001</v>
      </c>
      <c r="R2" s="2">
        <v>-301340</v>
      </c>
      <c r="S2">
        <v>25563.701259757101</v>
      </c>
    </row>
    <row r="3" spans="1:19" x14ac:dyDescent="0.5">
      <c r="A3" s="2">
        <v>-296123</v>
      </c>
      <c r="B3">
        <v>23.255234000000002</v>
      </c>
      <c r="H3" s="2">
        <v>-296123</v>
      </c>
      <c r="I3">
        <v>365.24218128199999</v>
      </c>
      <c r="M3" s="2">
        <v>-296123</v>
      </c>
      <c r="N3">
        <v>365.25641253600003</v>
      </c>
      <c r="R3" s="2">
        <v>-296123</v>
      </c>
      <c r="S3">
        <v>25665.792525032313</v>
      </c>
    </row>
    <row r="4" spans="1:19" x14ac:dyDescent="0.5">
      <c r="A4" s="2">
        <v>-290906</v>
      </c>
      <c r="B4">
        <v>22.886448000000001</v>
      </c>
      <c r="H4" s="2">
        <v>-290906</v>
      </c>
      <c r="I4">
        <v>365.24219472300001</v>
      </c>
      <c r="M4" s="2">
        <v>-290906</v>
      </c>
      <c r="N4">
        <v>365.25636166300001</v>
      </c>
      <c r="R4" s="2">
        <v>-290906</v>
      </c>
      <c r="S4">
        <v>25782.304552932073</v>
      </c>
    </row>
    <row r="5" spans="1:19" x14ac:dyDescent="0.5">
      <c r="A5" s="2">
        <v>-285689</v>
      </c>
      <c r="B5">
        <v>22.563410000000001</v>
      </c>
      <c r="H5" s="2">
        <v>-285689</v>
      </c>
      <c r="I5">
        <v>365.24220817899999</v>
      </c>
      <c r="M5" s="2">
        <v>-285689</v>
      </c>
      <c r="N5">
        <v>365.25641314699999</v>
      </c>
      <c r="R5" s="2">
        <v>-285689</v>
      </c>
      <c r="S5">
        <v>25713.286587267547</v>
      </c>
    </row>
    <row r="6" spans="1:19" x14ac:dyDescent="0.5">
      <c r="A6" s="2">
        <v>-280472</v>
      </c>
      <c r="B6">
        <v>22.537782</v>
      </c>
      <c r="H6" s="2">
        <v>-280472</v>
      </c>
      <c r="I6">
        <v>365.24221314099998</v>
      </c>
      <c r="M6" s="2">
        <v>-280472</v>
      </c>
      <c r="N6">
        <v>365.25646679099998</v>
      </c>
      <c r="R6" s="2">
        <v>-280472</v>
      </c>
      <c r="S6">
        <v>25625.469040630687</v>
      </c>
    </row>
    <row r="7" spans="1:19" x14ac:dyDescent="0.5">
      <c r="A7" s="2">
        <v>-275255</v>
      </c>
      <c r="B7">
        <v>22.904309000000001</v>
      </c>
      <c r="H7" s="2">
        <v>-275255</v>
      </c>
      <c r="I7">
        <v>365.24220579899998</v>
      </c>
      <c r="M7" s="2">
        <v>-275255</v>
      </c>
      <c r="N7">
        <v>365.256420687</v>
      </c>
      <c r="R7" s="2">
        <v>-275255</v>
      </c>
      <c r="S7">
        <v>25695.342846621301</v>
      </c>
    </row>
    <row r="8" spans="1:19" x14ac:dyDescent="0.5">
      <c r="A8" s="2">
        <v>-270038</v>
      </c>
      <c r="B8">
        <v>23.538454000000002</v>
      </c>
      <c r="H8" s="2">
        <v>-270038</v>
      </c>
      <c r="I8">
        <v>365.24218913499999</v>
      </c>
      <c r="M8" s="2">
        <v>-270038</v>
      </c>
      <c r="N8">
        <v>365.25637213900001</v>
      </c>
      <c r="R8" s="2">
        <v>-270038</v>
      </c>
      <c r="S8">
        <v>25753.103654102855</v>
      </c>
    </row>
    <row r="9" spans="1:19" x14ac:dyDescent="0.5">
      <c r="A9" s="2">
        <v>-264821</v>
      </c>
      <c r="B9">
        <v>24.161581000000002</v>
      </c>
      <c r="H9" s="2">
        <v>-264821</v>
      </c>
      <c r="I9">
        <v>365.24217154799999</v>
      </c>
      <c r="M9" s="2">
        <v>-264821</v>
      </c>
      <c r="N9">
        <v>365.25641961399998</v>
      </c>
      <c r="R9" s="2">
        <v>-264821</v>
      </c>
      <c r="S9">
        <v>25635.508679856765</v>
      </c>
    </row>
    <row r="10" spans="1:19" x14ac:dyDescent="0.5">
      <c r="A10" s="2">
        <v>-259604</v>
      </c>
      <c r="B10">
        <v>24.496179999999999</v>
      </c>
      <c r="H10" s="2">
        <v>-259604</v>
      </c>
      <c r="I10">
        <v>365.24216239200001</v>
      </c>
      <c r="M10" s="2">
        <v>-259604</v>
      </c>
      <c r="N10">
        <v>365.25646515199998</v>
      </c>
      <c r="R10" s="2">
        <v>-259604</v>
      </c>
      <c r="S10">
        <v>25537.481238090866</v>
      </c>
    </row>
    <row r="11" spans="1:19" x14ac:dyDescent="0.5">
      <c r="A11" s="2">
        <v>-254387</v>
      </c>
      <c r="B11">
        <v>24.420884000000001</v>
      </c>
      <c r="H11" s="2">
        <v>-254387</v>
      </c>
      <c r="I11">
        <v>365.24216632899999</v>
      </c>
      <c r="M11" s="2">
        <v>-254387</v>
      </c>
      <c r="N11">
        <v>365.25641153800001</v>
      </c>
      <c r="R11" s="2">
        <v>-254387</v>
      </c>
      <c r="S11">
        <v>25640.649536093242</v>
      </c>
    </row>
    <row r="12" spans="1:19" x14ac:dyDescent="0.5">
      <c r="A12" s="2">
        <v>-249170</v>
      </c>
      <c r="B12">
        <v>24.035136000000001</v>
      </c>
      <c r="H12" s="2">
        <v>-249170</v>
      </c>
      <c r="I12">
        <v>365.24218020199999</v>
      </c>
      <c r="M12" s="2">
        <v>-249170</v>
      </c>
      <c r="N12">
        <v>365.25636027799999</v>
      </c>
      <c r="R12" s="2">
        <v>-249170</v>
      </c>
      <c r="S12">
        <v>25758.420496331535</v>
      </c>
    </row>
    <row r="13" spans="1:19" x14ac:dyDescent="0.5">
      <c r="A13" s="2">
        <v>-243953</v>
      </c>
      <c r="B13">
        <v>23.596174000000001</v>
      </c>
      <c r="H13" s="2">
        <v>-243953</v>
      </c>
      <c r="I13">
        <v>365.24219532699999</v>
      </c>
      <c r="M13" s="2">
        <v>-243953</v>
      </c>
      <c r="N13">
        <v>365.25641129899998</v>
      </c>
      <c r="R13" s="2">
        <v>-243953</v>
      </c>
      <c r="S13">
        <v>25693.38285833038</v>
      </c>
    </row>
    <row r="14" spans="1:19" x14ac:dyDescent="0.5">
      <c r="A14" s="2">
        <v>-238736</v>
      </c>
      <c r="B14">
        <v>23.365655</v>
      </c>
      <c r="H14" s="2">
        <v>-238736</v>
      </c>
      <c r="I14">
        <v>365.24220282200002</v>
      </c>
      <c r="M14" s="2">
        <v>-238736</v>
      </c>
      <c r="N14">
        <v>365.25646312499998</v>
      </c>
      <c r="R14" s="2">
        <v>-238736</v>
      </c>
      <c r="S14">
        <v>25613.513480469712</v>
      </c>
    </row>
    <row r="15" spans="1:19" x14ac:dyDescent="0.5">
      <c r="A15" s="2">
        <v>-233519</v>
      </c>
      <c r="B15">
        <v>23.455998000000001</v>
      </c>
      <c r="H15" s="2">
        <v>-233519</v>
      </c>
      <c r="I15">
        <v>365.242198691</v>
      </c>
      <c r="M15" s="2">
        <v>-233519</v>
      </c>
      <c r="N15">
        <v>365.256414339</v>
      </c>
      <c r="R15" s="2">
        <v>-233519</v>
      </c>
      <c r="S15">
        <v>25693.96867022158</v>
      </c>
    </row>
    <row r="16" spans="1:19" x14ac:dyDescent="0.5">
      <c r="A16" s="2">
        <v>-228302</v>
      </c>
      <c r="B16">
        <v>23.766480000000001</v>
      </c>
      <c r="H16" s="2">
        <v>-228302</v>
      </c>
      <c r="I16">
        <v>365.242185775</v>
      </c>
      <c r="M16" s="2">
        <v>-228302</v>
      </c>
      <c r="N16">
        <v>365.256364152</v>
      </c>
      <c r="R16" s="2">
        <v>-228302</v>
      </c>
      <c r="S16">
        <v>25761.507410319802</v>
      </c>
    </row>
    <row r="17" spans="1:19" x14ac:dyDescent="0.5">
      <c r="A17" s="2">
        <v>-223085</v>
      </c>
      <c r="B17">
        <v>24.04635</v>
      </c>
      <c r="H17" s="2">
        <v>-223085</v>
      </c>
      <c r="I17">
        <v>365.24217239799998</v>
      </c>
      <c r="M17" s="2">
        <v>-223085</v>
      </c>
      <c r="N17">
        <v>365.25641271500001</v>
      </c>
      <c r="R17" s="2">
        <v>-223085</v>
      </c>
      <c r="S17">
        <v>25649.457994103122</v>
      </c>
    </row>
    <row r="18" spans="1:19" x14ac:dyDescent="0.5">
      <c r="A18" s="2">
        <v>-217868</v>
      </c>
      <c r="B18">
        <v>24.047644999999999</v>
      </c>
      <c r="H18" s="2">
        <v>-217868</v>
      </c>
      <c r="I18">
        <v>365.24216750599999</v>
      </c>
      <c r="M18" s="2">
        <v>-217868</v>
      </c>
      <c r="N18">
        <v>365.25646093500001</v>
      </c>
      <c r="R18" s="2">
        <v>-217868</v>
      </c>
      <c r="S18">
        <v>25554.152256571393</v>
      </c>
    </row>
    <row r="19" spans="1:19" x14ac:dyDescent="0.5">
      <c r="A19" s="2">
        <v>-212651</v>
      </c>
      <c r="B19">
        <v>23.677671</v>
      </c>
      <c r="H19" s="2">
        <v>-212651</v>
      </c>
      <c r="I19">
        <v>365.24217512500002</v>
      </c>
      <c r="M19" s="2">
        <v>-212651</v>
      </c>
      <c r="N19">
        <v>365.25640930200001</v>
      </c>
      <c r="R19" s="2">
        <v>-212651</v>
      </c>
      <c r="S19">
        <v>25660.5218062284</v>
      </c>
    </row>
    <row r="20" spans="1:19" x14ac:dyDescent="0.5">
      <c r="A20" s="2">
        <v>-207434</v>
      </c>
      <c r="B20">
        <v>23.061216999999999</v>
      </c>
      <c r="H20" s="2">
        <v>-207434</v>
      </c>
      <c r="I20">
        <v>365.24219165699998</v>
      </c>
      <c r="M20" s="2">
        <v>-207434</v>
      </c>
      <c r="N20">
        <v>365.25635826600001</v>
      </c>
      <c r="R20" s="2">
        <v>-207434</v>
      </c>
      <c r="S20">
        <v>25782.906711497752</v>
      </c>
    </row>
    <row r="21" spans="1:19" x14ac:dyDescent="0.5">
      <c r="A21" s="2">
        <v>-202217</v>
      </c>
      <c r="B21">
        <v>22.475376000000001</v>
      </c>
      <c r="H21" s="2">
        <v>-202217</v>
      </c>
      <c r="I21">
        <v>365.24220835400001</v>
      </c>
      <c r="M21" s="2">
        <v>-202217</v>
      </c>
      <c r="N21">
        <v>365.25640855699999</v>
      </c>
      <c r="R21" s="2">
        <v>-202217</v>
      </c>
      <c r="S21">
        <v>25721.914578100987</v>
      </c>
    </row>
    <row r="22" spans="1:19" x14ac:dyDescent="0.5">
      <c r="A22" s="2">
        <v>-197000</v>
      </c>
      <c r="B22">
        <v>22.194467</v>
      </c>
      <c r="H22" s="2">
        <v>-197000</v>
      </c>
      <c r="I22">
        <v>365.24221648999998</v>
      </c>
      <c r="M22" s="2">
        <v>-197000</v>
      </c>
      <c r="N22">
        <v>365.25646068200001</v>
      </c>
      <c r="R22" s="2">
        <v>-197000</v>
      </c>
      <c r="S22">
        <v>25642.483664998286</v>
      </c>
    </row>
    <row r="23" spans="1:19" x14ac:dyDescent="0.5">
      <c r="A23" s="2">
        <v>-191783</v>
      </c>
      <c r="B23">
        <v>22.335277000000001</v>
      </c>
      <c r="H23" s="2">
        <v>-191783</v>
      </c>
      <c r="I23">
        <v>365.24221212399999</v>
      </c>
      <c r="M23" s="2">
        <v>-191783</v>
      </c>
      <c r="N23">
        <v>365.25641422000001</v>
      </c>
      <c r="R23" s="2">
        <v>-191783</v>
      </c>
      <c r="S23">
        <v>25718.486498013925</v>
      </c>
    </row>
    <row r="24" spans="1:19" x14ac:dyDescent="0.5">
      <c r="A24" s="2">
        <v>-186566</v>
      </c>
      <c r="B24">
        <v>22.792767999999999</v>
      </c>
      <c r="H24" s="2">
        <v>-186566</v>
      </c>
      <c r="I24">
        <v>365.24219806100001</v>
      </c>
      <c r="M24" s="2">
        <v>-186566</v>
      </c>
      <c r="N24">
        <v>365.25636757900003</v>
      </c>
      <c r="R24" s="2">
        <v>-186566</v>
      </c>
      <c r="S24">
        <v>25777.614141748672</v>
      </c>
    </row>
    <row r="25" spans="1:19" x14ac:dyDescent="0.5">
      <c r="A25" s="2">
        <v>-181349</v>
      </c>
      <c r="B25">
        <v>23.303540999999999</v>
      </c>
      <c r="H25" s="2">
        <v>-181349</v>
      </c>
      <c r="I25">
        <v>365.24218243000001</v>
      </c>
      <c r="M25" s="2">
        <v>-181349</v>
      </c>
      <c r="N25">
        <v>365.25641851900002</v>
      </c>
      <c r="R25" s="2">
        <v>-181349</v>
      </c>
      <c r="S25">
        <v>25657.076077481805</v>
      </c>
    </row>
    <row r="26" spans="1:19" x14ac:dyDescent="0.5">
      <c r="A26" s="2">
        <v>-176132</v>
      </c>
      <c r="B26">
        <v>23.599737000000001</v>
      </c>
      <c r="H26" s="2">
        <v>-176132</v>
      </c>
      <c r="I26">
        <v>365.24217417800003</v>
      </c>
      <c r="M26" s="2">
        <v>-176132</v>
      </c>
      <c r="N26">
        <v>365.256467015</v>
      </c>
      <c r="R26" s="2">
        <v>-176132</v>
      </c>
      <c r="S26">
        <v>25555.211118390609</v>
      </c>
    </row>
    <row r="27" spans="1:19" x14ac:dyDescent="0.5">
      <c r="A27" s="2">
        <v>-170915</v>
      </c>
      <c r="B27">
        <v>23.563236</v>
      </c>
      <c r="H27" s="2">
        <v>-170915</v>
      </c>
      <c r="I27">
        <v>365.24217772700001</v>
      </c>
      <c r="M27" s="2">
        <v>-170915</v>
      </c>
      <c r="N27">
        <v>365.25641477099998</v>
      </c>
      <c r="R27" s="2">
        <v>-170915</v>
      </c>
      <c r="S27">
        <v>25655.354775315889</v>
      </c>
    </row>
    <row r="28" spans="1:19" x14ac:dyDescent="0.5">
      <c r="A28" s="2">
        <v>-165698</v>
      </c>
      <c r="B28">
        <v>23.29008</v>
      </c>
      <c r="H28" s="2">
        <v>-165698</v>
      </c>
      <c r="I28">
        <v>365.24219005200001</v>
      </c>
      <c r="M28" s="2">
        <v>-165698</v>
      </c>
      <c r="N28">
        <v>365.25636376400001</v>
      </c>
      <c r="R28" s="2">
        <v>-165698</v>
      </c>
      <c r="S28">
        <v>25769.986279103061</v>
      </c>
    </row>
    <row r="29" spans="1:19" x14ac:dyDescent="0.5">
      <c r="A29" s="2">
        <v>-160481</v>
      </c>
      <c r="B29">
        <v>23.027785000000002</v>
      </c>
      <c r="H29" s="2">
        <v>-160481</v>
      </c>
      <c r="I29">
        <v>365.24220282599998</v>
      </c>
      <c r="M29" s="2">
        <v>-160481</v>
      </c>
      <c r="N29">
        <v>365.25641503899999</v>
      </c>
      <c r="R29" s="2">
        <v>-160481</v>
      </c>
      <c r="S29">
        <v>25700.178785584387</v>
      </c>
    </row>
    <row r="30" spans="1:19" x14ac:dyDescent="0.5">
      <c r="A30" s="2">
        <v>-155264</v>
      </c>
      <c r="B30">
        <v>23.022819999999999</v>
      </c>
      <c r="H30" s="2">
        <v>-155264</v>
      </c>
      <c r="I30">
        <v>365.242207495</v>
      </c>
      <c r="M30" s="2">
        <v>-155264</v>
      </c>
      <c r="N30">
        <v>365.25646777499998</v>
      </c>
      <c r="R30" s="2">
        <v>-155264</v>
      </c>
      <c r="S30">
        <v>25613.555117829132</v>
      </c>
    </row>
    <row r="31" spans="1:19" x14ac:dyDescent="0.5">
      <c r="A31" s="2">
        <v>-150047</v>
      </c>
      <c r="B31">
        <v>23.368241000000001</v>
      </c>
      <c r="H31" s="2">
        <v>-150047</v>
      </c>
      <c r="I31">
        <v>365.24220019799998</v>
      </c>
      <c r="M31" s="2">
        <v>-150047</v>
      </c>
      <c r="N31">
        <v>365.256419994</v>
      </c>
      <c r="R31" s="2">
        <v>-150047</v>
      </c>
      <c r="S31">
        <v>25686.473982712407</v>
      </c>
    </row>
    <row r="32" spans="1:19" x14ac:dyDescent="0.5">
      <c r="A32" s="2">
        <v>-144830</v>
      </c>
      <c r="B32">
        <v>23.941417999999999</v>
      </c>
      <c r="H32" s="2">
        <v>-144830</v>
      </c>
      <c r="I32">
        <v>365.24218397800001</v>
      </c>
      <c r="M32" s="2">
        <v>-144830</v>
      </c>
      <c r="N32">
        <v>365.25636945700001</v>
      </c>
      <c r="R32" s="2">
        <v>-144830</v>
      </c>
      <c r="S32">
        <v>25748.610213107972</v>
      </c>
    </row>
    <row r="33" spans="1:19" x14ac:dyDescent="0.5">
      <c r="A33" s="2">
        <v>-139613</v>
      </c>
      <c r="B33">
        <v>24.469004000000002</v>
      </c>
      <c r="H33" s="2">
        <v>-139613</v>
      </c>
      <c r="I33">
        <v>365.24216731299998</v>
      </c>
      <c r="M33" s="2">
        <v>-139613</v>
      </c>
      <c r="N33">
        <v>365.25641588899998</v>
      </c>
      <c r="R33" s="2">
        <v>-139613</v>
      </c>
      <c r="S33">
        <v>25634.590845358936</v>
      </c>
    </row>
    <row r="34" spans="1:19" x14ac:dyDescent="0.5">
      <c r="A34" s="2">
        <v>-134396</v>
      </c>
      <c r="B34">
        <v>24.681678000000002</v>
      </c>
      <c r="H34" s="2">
        <v>-134396</v>
      </c>
      <c r="I34">
        <v>365.24215957000001</v>
      </c>
      <c r="M34" s="2">
        <v>-134396</v>
      </c>
      <c r="N34">
        <v>365.25646167999997</v>
      </c>
      <c r="R34" s="2">
        <v>-134396</v>
      </c>
      <c r="S34">
        <v>25538.641618685622</v>
      </c>
    </row>
    <row r="35" spans="1:19" x14ac:dyDescent="0.5">
      <c r="A35" s="2">
        <v>-129179</v>
      </c>
      <c r="B35">
        <v>24.468482000000002</v>
      </c>
      <c r="H35" s="2">
        <v>-129179</v>
      </c>
      <c r="I35">
        <v>365.24216522299997</v>
      </c>
      <c r="M35" s="2">
        <v>-129179</v>
      </c>
      <c r="N35">
        <v>365.25640899699999</v>
      </c>
      <c r="R35" s="2">
        <v>-129179</v>
      </c>
      <c r="S35">
        <v>25643.232544720206</v>
      </c>
    </row>
    <row r="36" spans="1:19" x14ac:dyDescent="0.5">
      <c r="A36" s="2">
        <v>-123962</v>
      </c>
      <c r="B36">
        <v>23.940646000000001</v>
      </c>
      <c r="H36" s="2">
        <v>-123962</v>
      </c>
      <c r="I36">
        <v>365.24218090599999</v>
      </c>
      <c r="M36" s="2">
        <v>-123962</v>
      </c>
      <c r="N36">
        <v>365.25635853400001</v>
      </c>
      <c r="R36" s="2">
        <v>-123962</v>
      </c>
      <c r="S36">
        <v>25762.867987035581</v>
      </c>
    </row>
    <row r="37" spans="1:19" x14ac:dyDescent="0.5">
      <c r="A37" s="2">
        <v>-118745</v>
      </c>
      <c r="B37">
        <v>23.367604</v>
      </c>
      <c r="H37" s="2">
        <v>-118745</v>
      </c>
      <c r="I37">
        <v>365.24219768099999</v>
      </c>
      <c r="M37" s="2">
        <v>-118745</v>
      </c>
      <c r="N37">
        <v>365.25640974200002</v>
      </c>
      <c r="R37" s="2">
        <v>-118745</v>
      </c>
      <c r="S37">
        <v>25700.453279886671</v>
      </c>
    </row>
    <row r="38" spans="1:19" x14ac:dyDescent="0.5">
      <c r="A38" s="2">
        <v>-113528</v>
      </c>
      <c r="B38">
        <v>23.022599</v>
      </c>
      <c r="H38" s="2">
        <v>-113528</v>
      </c>
      <c r="I38">
        <v>365.24220662900001</v>
      </c>
      <c r="M38" s="2">
        <v>-113528</v>
      </c>
      <c r="N38">
        <v>365.25646148599998</v>
      </c>
      <c r="R38" s="2">
        <v>-113528</v>
      </c>
      <c r="S38">
        <v>25623.298885902175</v>
      </c>
    </row>
    <row r="39" spans="1:19" x14ac:dyDescent="0.5">
      <c r="A39" s="2">
        <v>-108311</v>
      </c>
      <c r="B39">
        <v>23.027998</v>
      </c>
      <c r="H39" s="2">
        <v>-108311</v>
      </c>
      <c r="I39">
        <v>365.24220369</v>
      </c>
      <c r="M39" s="2">
        <v>-108311</v>
      </c>
      <c r="N39">
        <v>365.25641304999999</v>
      </c>
      <c r="R39" s="2">
        <v>-108311</v>
      </c>
      <c r="S39">
        <v>25705.338808371467</v>
      </c>
    </row>
    <row r="40" spans="1:19" x14ac:dyDescent="0.5">
      <c r="A40" s="2">
        <v>-103094</v>
      </c>
      <c r="B40">
        <v>23.290483999999999</v>
      </c>
      <c r="H40" s="2">
        <v>-103094</v>
      </c>
      <c r="I40">
        <v>365.24219164300001</v>
      </c>
      <c r="M40" s="2">
        <v>-103094</v>
      </c>
      <c r="N40">
        <v>365.25636390599999</v>
      </c>
      <c r="R40" s="2">
        <v>-103094</v>
      </c>
      <c r="S40">
        <v>25772.621063169379</v>
      </c>
    </row>
    <row r="41" spans="1:19" x14ac:dyDescent="0.5">
      <c r="A41" s="2">
        <v>-97877</v>
      </c>
      <c r="B41">
        <v>23.563476999999999</v>
      </c>
      <c r="H41" s="2">
        <v>-97877</v>
      </c>
      <c r="I41">
        <v>365.24217865399999</v>
      </c>
      <c r="M41" s="2">
        <v>-97877</v>
      </c>
      <c r="N41">
        <v>365.256413549</v>
      </c>
      <c r="R41" s="2">
        <v>-97877</v>
      </c>
      <c r="S41">
        <v>25659.227802425095</v>
      </c>
    </row>
    <row r="42" spans="1:19" x14ac:dyDescent="0.5">
      <c r="A42" s="2">
        <v>-92660</v>
      </c>
      <c r="B42">
        <v>23.599568000000001</v>
      </c>
      <c r="H42" s="2">
        <v>-92660</v>
      </c>
      <c r="I42">
        <v>365.24217350499998</v>
      </c>
      <c r="M42" s="2">
        <v>-92660</v>
      </c>
      <c r="N42">
        <v>365.25646218999998</v>
      </c>
      <c r="R42" s="2">
        <v>-92660</v>
      </c>
      <c r="S42">
        <v>25562.636603024119</v>
      </c>
    </row>
    <row r="43" spans="1:19" x14ac:dyDescent="0.5">
      <c r="A43" s="2">
        <v>-87443</v>
      </c>
      <c r="B43">
        <v>23.302976000000001</v>
      </c>
      <c r="H43" s="2">
        <v>-87443</v>
      </c>
      <c r="I43">
        <v>365.242180211</v>
      </c>
      <c r="M43" s="2">
        <v>-87443</v>
      </c>
      <c r="N43">
        <v>365.256410383</v>
      </c>
      <c r="R43" s="2">
        <v>-87443</v>
      </c>
      <c r="S43">
        <v>25667.743888342135</v>
      </c>
    </row>
    <row r="44" spans="1:19" x14ac:dyDescent="0.5">
      <c r="A44" s="2">
        <v>-82226</v>
      </c>
      <c r="B44">
        <v>22.792081</v>
      </c>
      <c r="H44" s="2">
        <v>-82226</v>
      </c>
      <c r="I44">
        <v>365.242195374</v>
      </c>
      <c r="M44" s="2">
        <v>-82226</v>
      </c>
      <c r="N44">
        <v>365.25635918199998</v>
      </c>
      <c r="R44" s="2">
        <v>-82226</v>
      </c>
      <c r="S44">
        <v>25788.005540781709</v>
      </c>
    </row>
    <row r="45" spans="1:19" x14ac:dyDescent="0.5">
      <c r="A45" s="2">
        <v>-77009</v>
      </c>
      <c r="B45">
        <v>22.334848000000001</v>
      </c>
      <c r="H45" s="2">
        <v>-77009</v>
      </c>
      <c r="I45">
        <v>365.242210446</v>
      </c>
      <c r="M45" s="2">
        <v>-77009</v>
      </c>
      <c r="N45">
        <v>365.25641000600001</v>
      </c>
      <c r="R45" s="2">
        <v>-77009</v>
      </c>
      <c r="S45">
        <v>25723.079447939039</v>
      </c>
    </row>
    <row r="46" spans="1:19" x14ac:dyDescent="0.5">
      <c r="A46" s="2">
        <v>-71792</v>
      </c>
      <c r="B46">
        <v>22.194558000000001</v>
      </c>
      <c r="H46" s="2">
        <v>-71792</v>
      </c>
      <c r="I46">
        <v>365.24221685200001</v>
      </c>
      <c r="M46" s="2">
        <v>-71792</v>
      </c>
      <c r="N46">
        <v>365.25646328200003</v>
      </c>
      <c r="R46" s="2">
        <v>-71792</v>
      </c>
      <c r="S46">
        <v>25638.455618820633</v>
      </c>
    </row>
    <row r="47" spans="1:19" x14ac:dyDescent="0.5">
      <c r="A47" s="2">
        <v>-66575</v>
      </c>
      <c r="B47">
        <v>22.475981000000001</v>
      </c>
      <c r="H47" s="2">
        <v>-66575</v>
      </c>
      <c r="I47">
        <v>365.242210704</v>
      </c>
      <c r="M47" s="2">
        <v>-66575</v>
      </c>
      <c r="N47">
        <v>365.256417844</v>
      </c>
      <c r="R47" s="2">
        <v>-66575</v>
      </c>
      <c r="S47">
        <v>25709.355848122425</v>
      </c>
    </row>
    <row r="48" spans="1:19" x14ac:dyDescent="0.5">
      <c r="A48" s="2">
        <v>-61358</v>
      </c>
      <c r="B48">
        <v>23.062055999999998</v>
      </c>
      <c r="H48" s="2">
        <v>-61358</v>
      </c>
      <c r="I48">
        <v>365.242194944</v>
      </c>
      <c r="M48" s="2">
        <v>-61358</v>
      </c>
      <c r="N48">
        <v>365.256371129</v>
      </c>
      <c r="R48" s="2">
        <v>-61358</v>
      </c>
      <c r="S48">
        <v>25765.491289023601</v>
      </c>
    </row>
    <row r="49" spans="1:19" x14ac:dyDescent="0.5">
      <c r="A49" s="2">
        <v>-56141</v>
      </c>
      <c r="B49">
        <v>23.678353000000001</v>
      </c>
      <c r="H49" s="2">
        <v>-56141</v>
      </c>
      <c r="I49">
        <v>365.242177809</v>
      </c>
      <c r="M49" s="2">
        <v>-56141</v>
      </c>
      <c r="N49">
        <v>365.25642080599999</v>
      </c>
      <c r="R49" s="2">
        <v>-56141</v>
      </c>
      <c r="S49">
        <v>25644.632292352933</v>
      </c>
    </row>
    <row r="50" spans="1:19" x14ac:dyDescent="0.5">
      <c r="A50" s="2">
        <v>-50924</v>
      </c>
      <c r="B50">
        <v>24.047885000000001</v>
      </c>
      <c r="H50" s="2">
        <v>-50924</v>
      </c>
      <c r="I50">
        <v>365.24216847399998</v>
      </c>
      <c r="M50" s="2">
        <v>-50924</v>
      </c>
      <c r="N50">
        <v>365.25646773</v>
      </c>
      <c r="R50" s="2">
        <v>-50924</v>
      </c>
      <c r="S50">
        <v>25543.739319696808</v>
      </c>
    </row>
    <row r="51" spans="1:19" x14ac:dyDescent="0.5">
      <c r="A51" s="2">
        <v>-45707</v>
      </c>
      <c r="B51">
        <v>24.046126999999998</v>
      </c>
      <c r="H51" s="2">
        <v>-45707</v>
      </c>
      <c r="I51">
        <v>365.24217152900002</v>
      </c>
      <c r="M51" s="2">
        <v>-45707</v>
      </c>
      <c r="N51">
        <v>365.25641445600002</v>
      </c>
      <c r="R51" s="2">
        <v>-45707</v>
      </c>
      <c r="S51">
        <v>25644.75788270573</v>
      </c>
    </row>
    <row r="52" spans="1:19" x14ac:dyDescent="0.5">
      <c r="A52" s="2">
        <v>-40490</v>
      </c>
      <c r="B52">
        <v>23.766038999999999</v>
      </c>
      <c r="H52" s="2">
        <v>-40490</v>
      </c>
      <c r="I52">
        <v>365.24218402399998</v>
      </c>
      <c r="M52" s="2">
        <v>-40490</v>
      </c>
      <c r="N52">
        <v>365.25636297800003</v>
      </c>
      <c r="R52" s="2">
        <v>-40490</v>
      </c>
      <c r="S52">
        <v>25760.458985680652</v>
      </c>
    </row>
    <row r="53" spans="1:19" x14ac:dyDescent="0.5">
      <c r="A53" s="2">
        <v>-35273</v>
      </c>
      <c r="B53">
        <v>23.455698000000002</v>
      </c>
      <c r="H53" s="2">
        <v>-35273</v>
      </c>
      <c r="I53">
        <v>365.24219747900003</v>
      </c>
      <c r="M53" s="2">
        <v>-35273</v>
      </c>
      <c r="N53">
        <v>365.25641380799999</v>
      </c>
      <c r="R53" s="2">
        <v>-35273</v>
      </c>
      <c r="S53">
        <v>25692.73782345041</v>
      </c>
    </row>
    <row r="54" spans="1:19" x14ac:dyDescent="0.5">
      <c r="A54" s="2">
        <v>-30056</v>
      </c>
      <c r="B54">
        <v>23.365746000000001</v>
      </c>
      <c r="H54" s="2">
        <v>-30056</v>
      </c>
      <c r="I54">
        <v>365.24220319300002</v>
      </c>
      <c r="M54" s="2">
        <v>-30056</v>
      </c>
      <c r="N54">
        <v>365.25646571999999</v>
      </c>
      <c r="R54" s="2">
        <v>-30056</v>
      </c>
      <c r="S54">
        <v>25609.519667919798</v>
      </c>
    </row>
    <row r="55" spans="1:19" x14ac:dyDescent="0.5">
      <c r="A55" s="2">
        <v>-24839</v>
      </c>
      <c r="B55">
        <v>23.596648999999999</v>
      </c>
      <c r="H55" s="2">
        <v>-24839</v>
      </c>
      <c r="I55">
        <v>365.24219722599997</v>
      </c>
      <c r="M55" s="2">
        <v>-24839</v>
      </c>
      <c r="N55">
        <v>365.25641688899998</v>
      </c>
      <c r="R55" s="2">
        <v>-24839</v>
      </c>
      <c r="S55">
        <v>25686.714016278154</v>
      </c>
    </row>
    <row r="56" spans="1:19" x14ac:dyDescent="0.5">
      <c r="A56" s="2">
        <v>-19622</v>
      </c>
      <c r="B56">
        <v>24.035729</v>
      </c>
      <c r="H56" s="2">
        <v>-19622</v>
      </c>
      <c r="I56">
        <v>365.24218256900002</v>
      </c>
      <c r="M56" s="2">
        <v>-19622</v>
      </c>
      <c r="N56">
        <v>365.25636593799999</v>
      </c>
      <c r="R56" s="2">
        <v>-19622</v>
      </c>
      <c r="S56">
        <v>25752.44047721539</v>
      </c>
    </row>
    <row r="57" spans="1:19" x14ac:dyDescent="0.5">
      <c r="A57" s="2">
        <v>-14405</v>
      </c>
      <c r="B57">
        <v>24.421223999999999</v>
      </c>
      <c r="H57" s="2">
        <v>-14405</v>
      </c>
      <c r="I57">
        <v>365.24216767199999</v>
      </c>
      <c r="M57" s="2">
        <v>-14405</v>
      </c>
      <c r="N57">
        <v>365.25641314000001</v>
      </c>
      <c r="R57" s="2">
        <v>-14405</v>
      </c>
      <c r="S57">
        <v>25640.183470256761</v>
      </c>
    </row>
    <row r="58" spans="1:19" x14ac:dyDescent="0.5">
      <c r="A58" s="2">
        <v>-9188</v>
      </c>
      <c r="B58">
        <v>24.496010999999999</v>
      </c>
      <c r="H58" s="2">
        <v>-9188</v>
      </c>
      <c r="I58">
        <v>365.24216170800003</v>
      </c>
      <c r="M58" s="2">
        <v>-9188</v>
      </c>
      <c r="N58">
        <v>365.25646032600002</v>
      </c>
      <c r="R58" s="2">
        <v>-9188</v>
      </c>
      <c r="S58">
        <v>25544.878555819272</v>
      </c>
    </row>
    <row r="59" spans="1:19" x14ac:dyDescent="0.5">
      <c r="A59" s="2">
        <v>-3971</v>
      </c>
      <c r="B59">
        <v>24.160917999999999</v>
      </c>
      <c r="H59" s="2">
        <v>-3971</v>
      </c>
      <c r="I59">
        <v>365.24216890000002</v>
      </c>
      <c r="M59" s="2">
        <v>-3971</v>
      </c>
      <c r="N59">
        <v>365.25640862500001</v>
      </c>
      <c r="R59" s="2">
        <v>-3971</v>
      </c>
      <c r="S59">
        <v>25650.524053341545</v>
      </c>
    </row>
    <row r="60" spans="1:19" x14ac:dyDescent="0.5">
      <c r="A60" s="2">
        <v>1246</v>
      </c>
      <c r="B60">
        <v>23.537579000000001</v>
      </c>
      <c r="H60" s="2">
        <v>1246</v>
      </c>
      <c r="I60">
        <v>365.24218567100002</v>
      </c>
      <c r="M60" s="2">
        <v>1246</v>
      </c>
      <c r="N60">
        <v>365.25635821499998</v>
      </c>
      <c r="R60" s="2">
        <v>1246</v>
      </c>
      <c r="S60">
        <v>25772.10966612515</v>
      </c>
    </row>
    <row r="61" spans="1:19" x14ac:dyDescent="0.5">
      <c r="A61" s="2">
        <v>6463</v>
      </c>
      <c r="B61">
        <v>22.903604999999999</v>
      </c>
      <c r="H61" s="2">
        <v>6463</v>
      </c>
      <c r="I61">
        <v>365.24220308500003</v>
      </c>
      <c r="M61" s="2">
        <v>6463</v>
      </c>
      <c r="N61">
        <v>365.25640891500001</v>
      </c>
      <c r="R61" s="2">
        <v>6463</v>
      </c>
      <c r="S61">
        <v>25711.726024843738</v>
      </c>
    </row>
    <row r="62" spans="1:19" x14ac:dyDescent="0.5">
      <c r="A62" s="2">
        <v>11680</v>
      </c>
      <c r="B62">
        <v>22.537552000000002</v>
      </c>
      <c r="H62" s="2">
        <v>11680</v>
      </c>
      <c r="I62">
        <v>365.24221229099999</v>
      </c>
      <c r="M62" s="2">
        <v>11680</v>
      </c>
      <c r="N62">
        <v>365.25646048099998</v>
      </c>
      <c r="R62" s="2">
        <v>11680</v>
      </c>
      <c r="S62">
        <v>25635.288445849848</v>
      </c>
    </row>
    <row r="63" spans="1:19" x14ac:dyDescent="0.5">
      <c r="A63" s="2">
        <v>16897</v>
      </c>
      <c r="B63">
        <v>22.563690000000001</v>
      </c>
      <c r="H63" s="2">
        <v>16897</v>
      </c>
      <c r="I63">
        <v>365.24220923899998</v>
      </c>
      <c r="M63" s="2">
        <v>16897</v>
      </c>
      <c r="N63">
        <v>365.25641270099999</v>
      </c>
      <c r="R63" s="2">
        <v>16897</v>
      </c>
      <c r="S63">
        <v>25716.012948159918</v>
      </c>
    </row>
    <row r="64" spans="1:19" x14ac:dyDescent="0.5">
      <c r="A64" s="2">
        <v>22114</v>
      </c>
      <c r="B64">
        <v>22.886987999999999</v>
      </c>
      <c r="H64" s="2">
        <v>22114</v>
      </c>
      <c r="I64">
        <v>365.24219670000002</v>
      </c>
      <c r="M64" s="2">
        <v>22114</v>
      </c>
      <c r="N64">
        <v>365.25636479399998</v>
      </c>
      <c r="R64" s="2">
        <v>22114</v>
      </c>
      <c r="S64">
        <v>25780.204789376348</v>
      </c>
    </row>
    <row r="65" spans="1:19" x14ac:dyDescent="0.5">
      <c r="A65" s="2">
        <v>27331</v>
      </c>
      <c r="B65">
        <v>23.255648999999998</v>
      </c>
      <c r="H65" s="2">
        <v>27331</v>
      </c>
      <c r="I65">
        <v>365.24218277199998</v>
      </c>
      <c r="M65" s="2">
        <v>27331</v>
      </c>
      <c r="N65">
        <v>365.25641541200002</v>
      </c>
      <c r="R65" s="2">
        <v>27331</v>
      </c>
      <c r="S65">
        <v>25663.293346197792</v>
      </c>
    </row>
    <row r="66" spans="1:19" x14ac:dyDescent="0.5">
      <c r="A66" s="2">
        <v>32548</v>
      </c>
      <c r="B66">
        <v>23.413979999999999</v>
      </c>
      <c r="H66" s="2">
        <v>32548</v>
      </c>
      <c r="I66">
        <v>365.242176245</v>
      </c>
      <c r="M66" s="2">
        <v>32548</v>
      </c>
      <c r="N66">
        <v>365.25646432500002</v>
      </c>
      <c r="R66" s="2">
        <v>32548</v>
      </c>
      <c r="S66">
        <v>25563.719150807705</v>
      </c>
    </row>
    <row r="67" spans="1:19" x14ac:dyDescent="0.5">
      <c r="A67" s="2" t="s">
        <v>73</v>
      </c>
      <c r="B67">
        <v>1521.9087960000002</v>
      </c>
      <c r="H67" s="2" t="s">
        <v>73</v>
      </c>
      <c r="I67">
        <v>23740.742272116997</v>
      </c>
      <c r="M67" s="2" t="s">
        <v>73</v>
      </c>
      <c r="N67">
        <v>23741.666945489997</v>
      </c>
      <c r="R67" s="2" t="s">
        <v>73</v>
      </c>
      <c r="S67">
        <v>1668935.3988245318</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6</vt:i4>
      </vt:variant>
    </vt:vector>
  </HeadingPairs>
  <TitlesOfParts>
    <vt:vector size="6" baseType="lpstr">
      <vt:lpstr>Summary</vt:lpstr>
      <vt:lpstr>Cardinal Points</vt:lpstr>
      <vt:lpstr>Anomalistic</vt:lpstr>
      <vt:lpstr>Sidereal</vt:lpstr>
      <vt:lpstr>Detailed</vt:lpstr>
      <vt:lpstr>Graphs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Dennis</cp:lastModifiedBy>
  <dcterms:modified xsi:type="dcterms:W3CDTF">2026-01-23T09:34:49Z</dcterms:modified>
</cp:coreProperties>
</file>